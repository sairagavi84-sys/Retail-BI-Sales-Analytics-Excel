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13_ncr:1_{4320937B-6C53-4F82-B462-009265252A3A}" xr6:coauthVersionLast="47" xr6:coauthVersionMax="47" xr10:uidLastSave="{00000000-0000-0000-0000-000000000000}"/>
  <bookViews>
    <workbookView xWindow="-120" yWindow="-120" windowWidth="20730" windowHeight="11040" activeTab="3" xr2:uid="{0A08207F-3C47-43F5-9A28-56CEAA84DCDC}"/>
  </bookViews>
  <sheets>
    <sheet name="RAW_DATA" sheetId="6" r:id="rId1"/>
    <sheet name="SALE" sheetId="15" r:id="rId2"/>
    <sheet name="CATEGORY" sheetId="14" r:id="rId3"/>
    <sheet name="PT_PRODUCT" sheetId="10" r:id="rId4"/>
    <sheet name="PT_REGION2" sheetId="12" r:id="rId5"/>
    <sheet name="DASHBOARD" sheetId="5" r:id="rId6"/>
  </sheets>
  <definedNames>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4" i="5" l="1"/>
  <c r="E4" i="5"/>
  <c r="C4" i="5"/>
  <c r="A4" i="5"/>
  <c r="G4" i="15"/>
  <c r="E4" i="15"/>
  <c r="C4" i="15"/>
  <c r="A4" i="15"/>
</calcChain>
</file>

<file path=xl/sharedStrings.xml><?xml version="1.0" encoding="utf-8"?>
<sst xmlns="http://schemas.openxmlformats.org/spreadsheetml/2006/main" count="751" uniqueCount="279">
  <si>
    <t>Order ID</t>
  </si>
  <si>
    <t>Order Date</t>
  </si>
  <si>
    <t>Customer ID</t>
  </si>
  <si>
    <t>Customer Name</t>
  </si>
  <si>
    <t>Gender</t>
  </si>
  <si>
    <t>ORD001</t>
  </si>
  <si>
    <t>CUST001</t>
  </si>
  <si>
    <t>Ravi Kumar</t>
  </si>
  <si>
    <t>Male</t>
  </si>
  <si>
    <t>Chennai</t>
  </si>
  <si>
    <t>Tamil Nadu</t>
  </si>
  <si>
    <t>India</t>
  </si>
  <si>
    <t>P001</t>
  </si>
  <si>
    <t>ORD002</t>
  </si>
  <si>
    <t>CUST002</t>
  </si>
  <si>
    <t>Priya Sharma</t>
  </si>
  <si>
    <t>Female</t>
  </si>
  <si>
    <t>Bengaluru</t>
  </si>
  <si>
    <t>Karnataka</t>
  </si>
  <si>
    <t>P002</t>
  </si>
  <si>
    <t>ORD003</t>
  </si>
  <si>
    <t>CUST003</t>
  </si>
  <si>
    <t>Arun Kumar</t>
  </si>
  <si>
    <t>Coimbatore</t>
  </si>
  <si>
    <t>P003</t>
  </si>
  <si>
    <t>ORD004</t>
  </si>
  <si>
    <t>CUST004</t>
  </si>
  <si>
    <t>Divya Raj</t>
  </si>
  <si>
    <t>Madurai</t>
  </si>
  <si>
    <t>P004</t>
  </si>
  <si>
    <t>ORD005</t>
  </si>
  <si>
    <t>CUST005</t>
  </si>
  <si>
    <t>Karthik S</t>
  </si>
  <si>
    <t>Hyderabad</t>
  </si>
  <si>
    <t>Telangana</t>
  </si>
  <si>
    <t>P005</t>
  </si>
  <si>
    <t>ORD006</t>
  </si>
  <si>
    <t>CUST006</t>
  </si>
  <si>
    <t>Anitha R</t>
  </si>
  <si>
    <t>P006</t>
  </si>
  <si>
    <t>ORD007</t>
  </si>
  <si>
    <t>CUST007</t>
  </si>
  <si>
    <t>Vijay Kumar</t>
  </si>
  <si>
    <t>Mumbai</t>
  </si>
  <si>
    <t>Maharashtra</t>
  </si>
  <si>
    <t>P007</t>
  </si>
  <si>
    <t>ORD008</t>
  </si>
  <si>
    <t>CUST008</t>
  </si>
  <si>
    <t>Sneha Devi</t>
  </si>
  <si>
    <t>Pune</t>
  </si>
  <si>
    <t>P008</t>
  </si>
  <si>
    <t>ORD009</t>
  </si>
  <si>
    <t>CUST009</t>
  </si>
  <si>
    <t>Suresh B</t>
  </si>
  <si>
    <t>Delhi</t>
  </si>
  <si>
    <t>P009</t>
  </si>
  <si>
    <t>ORD010</t>
  </si>
  <si>
    <t>CUST010</t>
  </si>
  <si>
    <t>Meena K</t>
  </si>
  <si>
    <t>Kochi</t>
  </si>
  <si>
    <t>Kerala</t>
  </si>
  <si>
    <t>P010</t>
  </si>
  <si>
    <t>ORD011</t>
  </si>
  <si>
    <t>CUST011</t>
  </si>
  <si>
    <t>Rahul M</t>
  </si>
  <si>
    <t>P011</t>
  </si>
  <si>
    <t>ORD012</t>
  </si>
  <si>
    <t>CUST012</t>
  </si>
  <si>
    <t>Pooja R</t>
  </si>
  <si>
    <t>P012</t>
  </si>
  <si>
    <t>ORD013</t>
  </si>
  <si>
    <t>CUST013</t>
  </si>
  <si>
    <t>Manoj Kumar</t>
  </si>
  <si>
    <t>P013</t>
  </si>
  <si>
    <t>ORD014</t>
  </si>
  <si>
    <t>CUST014</t>
  </si>
  <si>
    <t>Lakshmi S</t>
  </si>
  <si>
    <t>P014</t>
  </si>
  <si>
    <t>ORD015</t>
  </si>
  <si>
    <t>CUST015</t>
  </si>
  <si>
    <t>Deepak R</t>
  </si>
  <si>
    <t>P015</t>
  </si>
  <si>
    <t>ORD016</t>
  </si>
  <si>
    <t>CUST016</t>
  </si>
  <si>
    <t>Kavya M</t>
  </si>
  <si>
    <t>P016</t>
  </si>
  <si>
    <t>ORD017</t>
  </si>
  <si>
    <t>CUST017</t>
  </si>
  <si>
    <t>Sanjay P</t>
  </si>
  <si>
    <t>P017</t>
  </si>
  <si>
    <t>ORD018</t>
  </si>
  <si>
    <t>CUST018</t>
  </si>
  <si>
    <t>Nandhini K</t>
  </si>
  <si>
    <t>P018</t>
  </si>
  <si>
    <t>ORD019</t>
  </si>
  <si>
    <t>CUST019</t>
  </si>
  <si>
    <t>Prakash V</t>
  </si>
  <si>
    <t>P019</t>
  </si>
  <si>
    <t>ORD020</t>
  </si>
  <si>
    <t>CUST020</t>
  </si>
  <si>
    <t>Shalini R</t>
  </si>
  <si>
    <t>P020</t>
  </si>
  <si>
    <t>ORD021</t>
  </si>
  <si>
    <t>CUST021</t>
  </si>
  <si>
    <t>Ajay Kumar</t>
  </si>
  <si>
    <t>ORD022</t>
  </si>
  <si>
    <t>CUST022</t>
  </si>
  <si>
    <t>Swetha P</t>
  </si>
  <si>
    <t>ORD023</t>
  </si>
  <si>
    <t>CUST023</t>
  </si>
  <si>
    <t>Surya M</t>
  </si>
  <si>
    <t>ORD024</t>
  </si>
  <si>
    <t>CUST024</t>
  </si>
  <si>
    <t>Keerthana S</t>
  </si>
  <si>
    <t>ORD025</t>
  </si>
  <si>
    <t>CUST025</t>
  </si>
  <si>
    <t>Ramesh B</t>
  </si>
  <si>
    <t>ORD026</t>
  </si>
  <si>
    <t>CUST026</t>
  </si>
  <si>
    <t>Harini K</t>
  </si>
  <si>
    <t>ORD027</t>
  </si>
  <si>
    <t>CUST027</t>
  </si>
  <si>
    <t>Mohan Raj</t>
  </si>
  <si>
    <t>ORD028</t>
  </si>
  <si>
    <t>CUST028</t>
  </si>
  <si>
    <t>Aishwarya R</t>
  </si>
  <si>
    <t>ORD029</t>
  </si>
  <si>
    <t>CUST029</t>
  </si>
  <si>
    <t>Dinesh S</t>
  </si>
  <si>
    <t>ORD030</t>
  </si>
  <si>
    <t>CUST030</t>
  </si>
  <si>
    <t>Revathi M</t>
  </si>
  <si>
    <t>ORD031</t>
  </si>
  <si>
    <t>CUST031</t>
  </si>
  <si>
    <t>Pranav K</t>
  </si>
  <si>
    <t>ORD032</t>
  </si>
  <si>
    <t>CUST032</t>
  </si>
  <si>
    <t>Deepa R</t>
  </si>
  <si>
    <t>ORD033</t>
  </si>
  <si>
    <t>CUST033</t>
  </si>
  <si>
    <t>Aravind S</t>
  </si>
  <si>
    <t>ORD034</t>
  </si>
  <si>
    <t>CUST034</t>
  </si>
  <si>
    <t>Monisha P</t>
  </si>
  <si>
    <t>ORD035</t>
  </si>
  <si>
    <t>CUST035</t>
  </si>
  <si>
    <t>Gokul M</t>
  </si>
  <si>
    <t>ORD036</t>
  </si>
  <si>
    <t>CUST036</t>
  </si>
  <si>
    <t>Reshma K</t>
  </si>
  <si>
    <t>ORD037</t>
  </si>
  <si>
    <t>CUST037</t>
  </si>
  <si>
    <t>Varun R</t>
  </si>
  <si>
    <t>ORD038</t>
  </si>
  <si>
    <t>CUST038</t>
  </si>
  <si>
    <t>Swathi S</t>
  </si>
  <si>
    <t>ORD039</t>
  </si>
  <si>
    <t>CUST039</t>
  </si>
  <si>
    <t>Pradeep K</t>
  </si>
  <si>
    <t>ORD040</t>
  </si>
  <si>
    <t>CUST040</t>
  </si>
  <si>
    <t>Anjali M</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</si>
  <si>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</si>
  <si>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</si>
  <si>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</si>
  <si>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</si>
  <si>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</si>
  <si>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</si>
  <si>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</si>
  <si>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</si>
  <si>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</si>
  <si>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</si>
  <si>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</si>
  <si>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</si>
  <si>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</si>
  <si>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</si>
  <si>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</si>
  <si>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</si>
  <si>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</si>
  <si>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</si>
  <si>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</si>
  <si>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</si>
  <si>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Product</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</si>
  <si>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</si>
  <si>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</si>
  <si>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</si>
  <si>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</si>
  <si>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</si>
  <si>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</si>
  <si>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</si>
  <si>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</si>
  <si>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</si>
  <si>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</si>
  <si>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</si>
  <si>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</si>
  <si>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</si>
  <si>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</si>
  <si>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</si>
  <si>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</si>
  <si>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</si>
  <si>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</si>
  <si>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</si>
  <si>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</si>
  <si>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</si>
  <si>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</si>
  <si>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</si>
  <si>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</si>
  <si>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</si>
  <si>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</si>
  <si>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</si>
  <si>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</si>
  <si>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</si>
  <si>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</si>
  <si>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</si>
  <si>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</si>
  <si>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</si>
  <si>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</si>
  <si>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</si>
  <si>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</si>
  <si>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</si>
  <si>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</si>
  <si>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</si>
  <si>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</si>
  <si>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Electronics</t>
  </si>
  <si>
    <t>South</t>
  </si>
  <si>
    <t>West</t>
  </si>
  <si>
    <t>Furniture</t>
  </si>
  <si>
    <t>North</t>
  </si>
  <si>
    <t>East</t>
  </si>
  <si>
    <t>Category</t>
  </si>
  <si>
    <t>Region</t>
  </si>
  <si>
    <t>Quantity</t>
  </si>
  <si>
    <t>Sales</t>
  </si>
  <si>
    <t>Laptop</t>
  </si>
  <si>
    <t>Smartphone</t>
  </si>
  <si>
    <t>Office Chair</t>
  </si>
  <si>
    <t>Desk</t>
  </si>
  <si>
    <t>Headphones</t>
  </si>
  <si>
    <t>Printer</t>
  </si>
  <si>
    <t>Keyboard</t>
  </si>
  <si>
    <t>Monitor</t>
  </si>
  <si>
    <t>Bookshelf</t>
  </si>
  <si>
    <t>Mouse</t>
  </si>
  <si>
    <t>Tablet</t>
  </si>
  <si>
    <t>Webcam</t>
  </si>
  <si>
    <t xml:space="preserve">tab </t>
  </si>
  <si>
    <t xml:space="preserve">furniture </t>
  </si>
  <si>
    <t>south</t>
  </si>
  <si>
    <t>Row Labels</t>
  </si>
  <si>
    <t>(blank)</t>
  </si>
  <si>
    <t>Grand Total</t>
  </si>
  <si>
    <t>age</t>
  </si>
  <si>
    <t>city</t>
  </si>
  <si>
    <t>state</t>
  </si>
  <si>
    <t>county</t>
  </si>
  <si>
    <t>product ID</t>
  </si>
  <si>
    <t>UNIT PRICE</t>
  </si>
  <si>
    <t>Sum of Sales</t>
  </si>
  <si>
    <t>sales analyicsdashboard</t>
  </si>
  <si>
    <t>total sales</t>
  </si>
  <si>
    <t>total quantity</t>
  </si>
  <si>
    <t>TOTAL ORDERS</t>
  </si>
  <si>
    <t>AVERAGE SALES</t>
  </si>
  <si>
    <t>sales analyics dashboard</t>
  </si>
  <si>
    <t>Column Labels</t>
  </si>
  <si>
    <t>Bookshelf Total</t>
  </si>
  <si>
    <t>Desk Total</t>
  </si>
  <si>
    <t>Headphones Total</t>
  </si>
  <si>
    <t>Keyboard Total</t>
  </si>
  <si>
    <t>Laptop Total</t>
  </si>
  <si>
    <t>Monitor Total</t>
  </si>
  <si>
    <t>Mouse Total</t>
  </si>
  <si>
    <t>Office Chair Total</t>
  </si>
  <si>
    <t>Printer Total</t>
  </si>
  <si>
    <t>Smartphone Total</t>
  </si>
  <si>
    <t>tab  Total</t>
  </si>
  <si>
    <t>Tablet Total</t>
  </si>
  <si>
    <t>Webcam Total</t>
  </si>
  <si>
    <t>(blank)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</si>
</sst>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8">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
      <sz val="11"/>
      <color theme="1"/>
      <name val="Abadi"/>
      <family val="2"/>
    </font>
    <font>
      <b/>
      <sz val="11"/>
      <color theme="1"/>
      <name val="Abadi"/>
      <family val="2"/>
    </font>
    <font>
      <sz val="10"/>
      <color theme="1"/>
      <name val="Arial Unicode MS"/>
    </font>
    <font>
      <b/>
      <sz val="10"/>
      <color theme="1"/>
      <name val="Arial Unicode MS"/>
    </font>
  </fonts>
  <fills count="4">
    <fill>
      <patternFill patternType="none"/>
    </fill>
    <fill>
      <patternFill patternType="gray125"/>
    </fill>
    <fill>
      <patternFill patternType="solid">
        <fgColor theme="2" tint="-0.249977111117893"/>
        <bgColor indexed="64"/>
      </patternFill>
    </fill>
    <fill>
      <patternFill patternType="solid">
        <fgColor theme="2"/>
        <bgColor indexed="64"/>
      </patternFill>
    </fill>
  </fills>
  <borders count="1">
    <border>
      <left/>
      <right/>
      <top/>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35">
    <xf numFmtId="0" fontId="0" fillId="0" borderId="0" xfId="0"/>
    <xf numFmtId="0" fontId="0" fillId="0" borderId="0" xfId="0" applyAlignment="1">
      <alignment vertical="center" wrapText="1"/>
    </xf>
    <xf numFmtId="0" fontId="1" fillId="0" borderId="0" xfId="0" applyFont="1" applyAlignment="1">
      <alignment vertical="center" wrapText="1"/>
    </xf>
    <xf numFmtId="14" fontId="0" fillId="0" borderId="0" xfId="0" applyNumberFormat="1"/>
    <xf numFmtId="14" fontId="0" fillId="0" borderId="0" xfId="0" applyNumberFormat="1" applyAlignment="1">
      <alignment vertical="center" wrapText="1"/>
    </xf>
    <xf numFmtId="0" fontId="1"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wrapText="1"/>
    </xf>
    <xf numFmtId="0" fontId="4" fillId="0" borderId="0" xfId="0" applyFont="1"/>
    <xf numFmtId="0" fontId="5" fillId="0" borderId="0" xfId="0" applyFont="1" applyAlignment="1">
      <alignment horizontal="center" vertical="center" wrapText="1"/>
    </xf>
    <xf numFmtId="0" fontId="5" fillId="0" borderId="0" xfId="0" applyFont="1" applyAlignment="1">
      <alignment horizontal="right" vertical="center" wrapText="1"/>
    </xf>
    <xf numFmtId="0" fontId="4" fillId="0" borderId="0" xfId="0" applyFont="1" applyAlignment="1">
      <alignment vertical="center" wrapText="1"/>
    </xf>
    <xf numFmtId="0" fontId="4" fillId="0" borderId="0" xfId="0" applyFont="1" applyAlignment="1">
      <alignment horizontal="right" vertical="center" wrapText="1"/>
    </xf>
    <xf numFmtId="0" fontId="1" fillId="2" borderId="0" xfId="0" applyFont="1" applyFill="1" applyAlignment="1">
      <alignment horizontal="center" vertical="center" wrapText="1"/>
    </xf>
    <xf numFmtId="0" fontId="1" fillId="2" borderId="0" xfId="0" applyFont="1" applyFill="1" applyAlignment="1">
      <alignment vertical="center"/>
    </xf>
    <xf numFmtId="43" fontId="1" fillId="2" borderId="0" xfId="1" applyFont="1" applyFill="1" applyAlignment="1">
      <alignment vertical="center"/>
    </xf>
    <xf numFmtId="43" fontId="5" fillId="0" borderId="0" xfId="1" applyFont="1" applyAlignment="1">
      <alignment horizontal="right" vertical="center" wrapText="1"/>
    </xf>
    <xf numFmtId="43" fontId="4" fillId="0" borderId="0" xfId="1" applyFont="1" applyAlignment="1">
      <alignment horizontal="right" vertical="center" wrapText="1"/>
    </xf>
    <xf numFmtId="43" fontId="0" fillId="0" borderId="0" xfId="1" applyFont="1"/>
    <xf numFmtId="14" fontId="1" fillId="2" borderId="0" xfId="2" applyNumberFormat="1" applyFont="1" applyFill="1" applyAlignment="1">
      <alignment horizontal="center" vertical="center" wrapText="1"/>
    </xf>
    <xf numFmtId="14" fontId="4" fillId="0" borderId="0" xfId="2" applyNumberFormat="1" applyFont="1"/>
    <xf numFmtId="14" fontId="4" fillId="0" borderId="0" xfId="2" applyNumberFormat="1" applyFont="1" applyAlignment="1">
      <alignment vertical="center" wrapText="1"/>
    </xf>
    <xf numFmtId="14" fontId="0" fillId="0" borderId="0" xfId="2" applyNumberFormat="1" applyFont="1"/>
    <xf numFmtId="0" fontId="0" fillId="0" borderId="0" xfId="0" pivotButton="1"/>
    <xf numFmtId="0" fontId="0" fillId="0" borderId="0" xfId="0" applyAlignment="1">
      <alignment horizontal="left"/>
    </xf>
    <xf numFmtId="43" fontId="0" fillId="0" borderId="0" xfId="0" applyNumberFormat="1"/>
    <xf numFmtId="0" fontId="6" fillId="0" borderId="0" xfId="0" applyFont="1" applyAlignment="1">
      <alignment vertical="center"/>
    </xf>
    <xf numFmtId="0" fontId="6" fillId="0" borderId="0" xfId="0" applyFont="1"/>
    <xf numFmtId="0" fontId="1" fillId="0" borderId="0" xfId="0" applyFont="1"/>
    <xf numFmtId="43" fontId="1" fillId="0" borderId="0" xfId="0" applyNumberFormat="1" applyFont="1"/>
    <xf numFmtId="0" fontId="7" fillId="0" borderId="0" xfId="0" applyFont="1" applyAlignment="1">
      <alignment vertical="center"/>
    </xf>
    <xf numFmtId="0" fontId="1" fillId="3" borderId="0" xfId="0" applyFont="1" applyFill="1"/>
    <xf numFmtId="0" fontId="7" fillId="3" borderId="0" xfId="0" applyFont="1" applyFill="1"/>
    <xf numFmtId="43" fontId="1" fillId="0" borderId="0" xfId="0" applyNumberFormat="1" applyFont="1" applyAlignment="1">
      <alignment vertical="center"/>
    </xf>
    <xf numFmtId="2" fontId="1" fillId="3" borderId="0" xfId="0" applyNumberFormat="1" applyFont="1" applyFill="1" applyAlignment="1">
      <alignment vertical="center"/>
    </xf>
  </cellXfs>
  <cellStyles count="3">
    <cellStyle name="Comma" xfId="1" builtinId="3"/>
    <cellStyle name="Currency" xfId="2" builtinId="4"/>
    <cellStyle name="Normal" xfId="0" builtinId="0"/>
  </cellStyles>
  <dxfs count="20">
    <dxf>
      <font>
        <color rgb="FF9C0006"/>
      </font>
      <fill>
        <patternFill>
          <bgColor rgb="FFFFC7CE"/>
        </patternFill>
      </fill>
    </dxf>
    <dxf>
      <font>
        <b val="0"/>
        <i val="0"/>
        <strike val="0"/>
        <condense val="0"/>
        <extend val="0"/>
        <outline val="0"/>
        <shadow val="0"/>
        <u val="none"/>
        <vertAlign val="baseline"/>
        <sz val="11"/>
        <color theme="1"/>
        <name val="Abadi"/>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right"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numFmt numFmtId="19" formatCode="dd/mm/yyyy"/>
      <alignment horizontal="general" vertical="center" textRotation="0" wrapText="1" indent="0" justifyLastLine="0" shrinkToFit="0" readingOrder="0"/>
    </dxf>
    <dxf>
      <font>
        <b val="0"/>
        <i val="0"/>
        <strike val="0"/>
        <condense val="0"/>
        <extend val="0"/>
        <outline val="0"/>
        <shadow val="0"/>
        <u val="none"/>
        <vertAlign val="baseline"/>
        <sz val="11"/>
        <color theme="1"/>
        <name val="Abadi"/>
        <family val="2"/>
        <scheme val="none"/>
      </font>
    </dxf>
    <dxf>
      <fill>
        <patternFill patternType="solid">
          <fgColor rgb="FFADADAD"/>
          <bgColor rgb="FF000000"/>
        </patternFill>
      </fill>
    </dxf>
    <dxf>
      <font>
        <b val="0"/>
        <i val="0"/>
        <strike val="0"/>
        <condense val="0"/>
        <extend val="0"/>
        <outline val="0"/>
        <shadow val="0"/>
        <u val="none"/>
        <vertAlign val="baseline"/>
        <sz val="11"/>
        <color theme="1"/>
        <name val="Abadi"/>
        <family val="2"/>
        <scheme val="none"/>
      </font>
      <alignment horizontal="right"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Retail Business Intelligence &amp; Sales Analytics Dashboard.xlsx]PT_REGION2!PivotTable7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PT_REGION2!$B$3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PT_REGION2!$A$4:$A$5</c:f>
              <c:strCache>
                <c:ptCount val="1"/>
                <c:pt idx="0">
                  <c:v>south</c:v>
                </c:pt>
              </c:strCache>
            </c:strRef>
          </c:cat>
          <c:val>
            <c:numRef>
              <c:f>PT_REGION2!$B$4:$B$5</c:f>
              <c:numCache>
                <c:formatCode>General</c:formatCode>
                <c:ptCount val="1"/>
                <c:pt idx="0">
                  <c:v>542500</c:v>
                </c:pt>
              </c:numCache>
            </c:numRef>
          </c:val>
          <c:smooth val="0"/>
          <c:extLst>
            <c:ext xmlns:c16="http://schemas.microsoft.com/office/drawing/2014/chart" uri="{C3380CC4-5D6E-409C-BE32-E72D297353CC}">
              <c16:uniqueId val="{00000000-2904-4B6F-8E81-A64581245C64}"/>
            </c:ext>
          </c:extLst>
        </c:ser>
        <c:dLbls>
          <c:showLegendKey val="0"/>
          <c:showVal val="0"/>
          <c:showCatName val="0"/>
          <c:showSerName val="0"/>
          <c:showPercent val="0"/>
          <c:showBubbleSize val="0"/>
        </c:dLbls>
        <c:marker val="1"/>
        <c:smooth val="0"/>
        <c:axId val="1470682335"/>
        <c:axId val="1470681855"/>
      </c:lineChart>
      <c:catAx>
        <c:axId val="1470682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81855"/>
        <c:crosses val="autoZero"/>
        <c:auto val="1"/>
        <c:lblAlgn val="ctr"/>
        <c:lblOffset val="100"/>
        <c:noMultiLvlLbl val="0"/>
      </c:catAx>
      <c:valAx>
        <c:axId val="147068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68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Retail Business Intelligence &amp; Sales Analytics Dashboard.xlsx]PT_PRODUCT!PivotTable5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PT_PRODUCT!$B$3:$B$5</c:f>
              <c:strCache>
                <c:ptCount val="1"/>
                <c:pt idx="0">
                  <c:v>Bookshelf - Electronics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PT_PRODUCT!$B$6</c:f>
              <c:numCache>
                <c:formatCode>General</c:formatCode>
                <c:ptCount val="1"/>
                <c:pt idx="0">
                  <c:v>66000</c:v>
                </c:pt>
              </c:numCache>
            </c:numRef>
          </c:val>
          <c:extLst>
            <c:ext xmlns:c16="http://schemas.microsoft.com/office/drawing/2014/chart" uri="{C3380CC4-5D6E-409C-BE32-E72D297353CC}">
              <c16:uniqueId val="{00000000-5674-405B-B5F1-4CCC07E30124}"/>
            </c:ext>
          </c:extLst>
        </c:ser>
        <c:ser>
          <c:idx val="1"/>
          <c:order val="1"/>
          <c:tx>
            <c:strRef>
              <c:f>PT_PRODUCT!$C$3:$C$5</c:f>
              <c:strCache>
                <c:ptCount val="1"/>
                <c:pt idx="0">
                  <c:v>Bookshelf - Furniture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PT_PRODUCT!$C$6</c:f>
              <c:numCache>
                <c:formatCode>General</c:formatCode>
                <c:ptCount val="1"/>
                <c:pt idx="0">
                  <c:v>7000</c:v>
                </c:pt>
              </c:numCache>
            </c:numRef>
          </c:val>
          <c:extLst>
            <c:ext xmlns:c16="http://schemas.microsoft.com/office/drawing/2014/chart" uri="{C3380CC4-5D6E-409C-BE32-E72D297353CC}">
              <c16:uniqueId val="{0000007F-5674-405B-B5F1-4CCC07E30124}"/>
            </c:ext>
          </c:extLst>
        </c:ser>
        <c:ser>
          <c:idx val="2"/>
          <c:order val="2"/>
          <c:tx>
            <c:strRef>
              <c:f>PT_PRODUCT!$E$3:$E$5</c:f>
              <c:strCache>
                <c:ptCount val="1"/>
                <c:pt idx="0">
                  <c:v>Desk - Electronics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PT_PRODUCT!$E$6</c:f>
              <c:numCache>
                <c:formatCode>General</c:formatCode>
                <c:ptCount val="1"/>
                <c:pt idx="0">
                  <c:v>15500</c:v>
                </c:pt>
              </c:numCache>
            </c:numRef>
          </c:val>
          <c:extLst>
            <c:ext xmlns:c16="http://schemas.microsoft.com/office/drawing/2014/chart" uri="{C3380CC4-5D6E-409C-BE32-E72D297353CC}">
              <c16:uniqueId val="{00000080-5674-405B-B5F1-4CCC07E30124}"/>
            </c:ext>
          </c:extLst>
        </c:ser>
        <c:ser>
          <c:idx val="3"/>
          <c:order val="3"/>
          <c:tx>
            <c:strRef>
              <c:f>PT_PRODUCT!$F$3:$F$5</c:f>
              <c:strCache>
                <c:ptCount val="1"/>
                <c:pt idx="0">
                  <c:v>Desk - Furniture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PT_PRODUCT!$F$6</c:f>
              <c:numCache>
                <c:formatCode>General</c:formatCode>
                <c:ptCount val="1"/>
                <c:pt idx="0">
                  <c:v>24000</c:v>
                </c:pt>
              </c:numCache>
            </c:numRef>
          </c:val>
          <c:extLst>
            <c:ext xmlns:c16="http://schemas.microsoft.com/office/drawing/2014/chart" uri="{C3380CC4-5D6E-409C-BE32-E72D297353CC}">
              <c16:uniqueId val="{00000081-5674-405B-B5F1-4CCC07E30124}"/>
            </c:ext>
          </c:extLst>
        </c:ser>
        <c:ser>
          <c:idx val="4"/>
          <c:order val="4"/>
          <c:tx>
            <c:strRef>
              <c:f>PT_PRODUCT!$H$3:$H$5</c:f>
              <c:strCache>
                <c:ptCount val="1"/>
                <c:pt idx="0">
                  <c:v>Headphones - Electronics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PT_PRODUCT!$H$6</c:f>
              <c:numCache>
                <c:formatCode>General</c:formatCode>
                <c:ptCount val="1"/>
                <c:pt idx="0">
                  <c:v>38000</c:v>
                </c:pt>
              </c:numCache>
            </c:numRef>
          </c:val>
          <c:extLst>
            <c:ext xmlns:c16="http://schemas.microsoft.com/office/drawing/2014/chart" uri="{C3380CC4-5D6E-409C-BE32-E72D297353CC}">
              <c16:uniqueId val="{00000082-5674-405B-B5F1-4CCC07E30124}"/>
            </c:ext>
          </c:extLst>
        </c:ser>
        <c:ser>
          <c:idx val="5"/>
          <c:order val="5"/>
          <c:tx>
            <c:strRef>
              <c:f>PT_PRODUCT!$I$3:$I$5</c:f>
              <c:strCache>
                <c:ptCount val="1"/>
                <c:pt idx="0">
                  <c:v>Headphones - Furniture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PT_PRODUCT!$I$6</c:f>
              <c:numCache>
                <c:formatCode>General</c:formatCode>
                <c:ptCount val="1"/>
                <c:pt idx="0">
                  <c:v>24000</c:v>
                </c:pt>
              </c:numCache>
            </c:numRef>
          </c:val>
          <c:extLst>
            <c:ext xmlns:c16="http://schemas.microsoft.com/office/drawing/2014/chart" uri="{C3380CC4-5D6E-409C-BE32-E72D297353CC}">
              <c16:uniqueId val="{00000083-5674-405B-B5F1-4CCC07E30124}"/>
            </c:ext>
          </c:extLst>
        </c:ser>
        <c:ser>
          <c:idx val="6"/>
          <c:order val="6"/>
          <c:tx>
            <c:strRef>
              <c:f>PT_PRODUCT!$K$3:$K$5</c:f>
              <c:strCache>
                <c:ptCount val="1"/>
                <c:pt idx="0">
                  <c:v>Keyboard - Electronics</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PT_PRODUCT!$K$6</c:f>
              <c:numCache>
                <c:formatCode>General</c:formatCode>
                <c:ptCount val="1"/>
                <c:pt idx="0">
                  <c:v>112500</c:v>
                </c:pt>
              </c:numCache>
            </c:numRef>
          </c:val>
          <c:extLst>
            <c:ext xmlns:c16="http://schemas.microsoft.com/office/drawing/2014/chart" uri="{C3380CC4-5D6E-409C-BE32-E72D297353CC}">
              <c16:uniqueId val="{00000084-5674-405B-B5F1-4CCC07E30124}"/>
            </c:ext>
          </c:extLst>
        </c:ser>
        <c:ser>
          <c:idx val="7"/>
          <c:order val="7"/>
          <c:tx>
            <c:strRef>
              <c:f>PT_PRODUCT!$L$3:$L$5</c:f>
              <c:strCache>
                <c:ptCount val="1"/>
                <c:pt idx="0">
                  <c:v>Keyboard - Furniture</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PT_PRODUCT!$L$6</c:f>
              <c:numCache>
                <c:formatCode>General</c:formatCode>
                <c:ptCount val="1"/>
                <c:pt idx="0">
                  <c:v>50000</c:v>
                </c:pt>
              </c:numCache>
            </c:numRef>
          </c:val>
          <c:extLst>
            <c:ext xmlns:c16="http://schemas.microsoft.com/office/drawing/2014/chart" uri="{C3380CC4-5D6E-409C-BE32-E72D297353CC}">
              <c16:uniqueId val="{00000085-5674-405B-B5F1-4CCC07E30124}"/>
            </c:ext>
          </c:extLst>
        </c:ser>
        <c:ser>
          <c:idx val="8"/>
          <c:order val="8"/>
          <c:tx>
            <c:strRef>
              <c:f>PT_PRODUCT!$N$3:$N$5</c:f>
              <c:strCache>
                <c:ptCount val="1"/>
                <c:pt idx="0">
                  <c:v>Laptop - Electronics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PT_PRODUCT!$N$6</c:f>
              <c:numCache>
                <c:formatCode>General</c:formatCode>
                <c:ptCount val="1"/>
                <c:pt idx="0">
                  <c:v>205000</c:v>
                </c:pt>
              </c:numCache>
            </c:numRef>
          </c:val>
          <c:extLst>
            <c:ext xmlns:c16="http://schemas.microsoft.com/office/drawing/2014/chart" uri="{C3380CC4-5D6E-409C-BE32-E72D297353CC}">
              <c16:uniqueId val="{00000086-5674-405B-B5F1-4CCC07E30124}"/>
            </c:ext>
          </c:extLst>
        </c:ser>
        <c:ser>
          <c:idx val="9"/>
          <c:order val="9"/>
          <c:tx>
            <c:strRef>
              <c:f>PT_PRODUCT!$O$3:$O$5</c:f>
              <c:strCache>
                <c:ptCount val="1"/>
                <c:pt idx="0">
                  <c:v>Laptop - Furniture</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PT_PRODUCT!$O$6</c:f>
              <c:numCache>
                <c:formatCode>General</c:formatCode>
                <c:ptCount val="1"/>
                <c:pt idx="0">
                  <c:v>25000</c:v>
                </c:pt>
              </c:numCache>
            </c:numRef>
          </c:val>
          <c:extLst>
            <c:ext xmlns:c16="http://schemas.microsoft.com/office/drawing/2014/chart" uri="{C3380CC4-5D6E-409C-BE32-E72D297353CC}">
              <c16:uniqueId val="{00000087-5674-405B-B5F1-4CCC07E30124}"/>
            </c:ext>
          </c:extLst>
        </c:ser>
        <c:ser>
          <c:idx val="10"/>
          <c:order val="10"/>
          <c:tx>
            <c:strRef>
              <c:f>PT_PRODUCT!$Q$3:$Q$5</c:f>
              <c:strCache>
                <c:ptCount val="1"/>
                <c:pt idx="0">
                  <c:v>Monitor - Electronics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PT_PRODUCT!$Q$6</c:f>
              <c:numCache>
                <c:formatCode>General</c:formatCode>
                <c:ptCount val="1"/>
                <c:pt idx="0">
                  <c:v>254000</c:v>
                </c:pt>
              </c:numCache>
            </c:numRef>
          </c:val>
          <c:extLst>
            <c:ext xmlns:c16="http://schemas.microsoft.com/office/drawing/2014/chart" uri="{C3380CC4-5D6E-409C-BE32-E72D297353CC}">
              <c16:uniqueId val="{00000088-5674-405B-B5F1-4CCC07E30124}"/>
            </c:ext>
          </c:extLst>
        </c:ser>
        <c:ser>
          <c:idx val="11"/>
          <c:order val="11"/>
          <c:tx>
            <c:strRef>
              <c:f>PT_PRODUCT!$S$3:$S$5</c:f>
              <c:strCache>
                <c:ptCount val="1"/>
                <c:pt idx="0">
                  <c:v>Mouse - Electronics</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PT_PRODUCT!$S$6</c:f>
              <c:numCache>
                <c:formatCode>General</c:formatCode>
                <c:ptCount val="1"/>
                <c:pt idx="0">
                  <c:v>43000</c:v>
                </c:pt>
              </c:numCache>
            </c:numRef>
          </c:val>
          <c:extLst>
            <c:ext xmlns:c16="http://schemas.microsoft.com/office/drawing/2014/chart" uri="{C3380CC4-5D6E-409C-BE32-E72D297353CC}">
              <c16:uniqueId val="{00000089-5674-405B-B5F1-4CCC07E30124}"/>
            </c:ext>
          </c:extLst>
        </c:ser>
        <c:ser>
          <c:idx val="12"/>
          <c:order val="12"/>
          <c:tx>
            <c:strRef>
              <c:f>PT_PRODUCT!$T$3:$T$5</c:f>
              <c:strCache>
                <c:ptCount val="1"/>
                <c:pt idx="0">
                  <c:v>Mouse - Furniture</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PT_PRODUCT!$T$6</c:f>
              <c:numCache>
                <c:formatCode>General</c:formatCode>
                <c:ptCount val="1"/>
                <c:pt idx="0">
                  <c:v>8000</c:v>
                </c:pt>
              </c:numCache>
            </c:numRef>
          </c:val>
          <c:extLst>
            <c:ext xmlns:c16="http://schemas.microsoft.com/office/drawing/2014/chart" uri="{C3380CC4-5D6E-409C-BE32-E72D297353CC}">
              <c16:uniqueId val="{0000008A-5674-405B-B5F1-4CCC07E30124}"/>
            </c:ext>
          </c:extLst>
        </c:ser>
        <c:ser>
          <c:idx val="13"/>
          <c:order val="13"/>
          <c:tx>
            <c:strRef>
              <c:f>PT_PRODUCT!$V$3:$V$5</c:f>
              <c:strCache>
                <c:ptCount val="1"/>
                <c:pt idx="0">
                  <c:v>Office Chair - Electronics</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PT_PRODUCT!$V$6</c:f>
              <c:numCache>
                <c:formatCode>General</c:formatCode>
                <c:ptCount val="1"/>
                <c:pt idx="0">
                  <c:v>110000</c:v>
                </c:pt>
              </c:numCache>
            </c:numRef>
          </c:val>
          <c:extLst>
            <c:ext xmlns:c16="http://schemas.microsoft.com/office/drawing/2014/chart" uri="{C3380CC4-5D6E-409C-BE32-E72D297353CC}">
              <c16:uniqueId val="{0000008B-5674-405B-B5F1-4CCC07E30124}"/>
            </c:ext>
          </c:extLst>
        </c:ser>
        <c:ser>
          <c:idx val="14"/>
          <c:order val="14"/>
          <c:tx>
            <c:strRef>
              <c:f>PT_PRODUCT!$W$3:$W$5</c:f>
              <c:strCache>
                <c:ptCount val="1"/>
                <c:pt idx="0">
                  <c:v>Office Chair - Furniture</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PT_PRODUCT!$W$6</c:f>
              <c:numCache>
                <c:formatCode>General</c:formatCode>
                <c:ptCount val="1"/>
                <c:pt idx="0">
                  <c:v>29000</c:v>
                </c:pt>
              </c:numCache>
            </c:numRef>
          </c:val>
          <c:extLst>
            <c:ext xmlns:c16="http://schemas.microsoft.com/office/drawing/2014/chart" uri="{C3380CC4-5D6E-409C-BE32-E72D297353CC}">
              <c16:uniqueId val="{0000008C-5674-405B-B5F1-4CCC07E30124}"/>
            </c:ext>
          </c:extLst>
        </c:ser>
        <c:ser>
          <c:idx val="15"/>
          <c:order val="15"/>
          <c:tx>
            <c:strRef>
              <c:f>PT_PRODUCT!$Y$3:$Y$5</c:f>
              <c:strCache>
                <c:ptCount val="1"/>
                <c:pt idx="0">
                  <c:v>Printer - Electronics</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PT_PRODUCT!$Y$6</c:f>
              <c:numCache>
                <c:formatCode>General</c:formatCode>
                <c:ptCount val="1"/>
                <c:pt idx="0">
                  <c:v>81000</c:v>
                </c:pt>
              </c:numCache>
            </c:numRef>
          </c:val>
          <c:extLst>
            <c:ext xmlns:c16="http://schemas.microsoft.com/office/drawing/2014/chart" uri="{C3380CC4-5D6E-409C-BE32-E72D297353CC}">
              <c16:uniqueId val="{0000008D-5674-405B-B5F1-4CCC07E30124}"/>
            </c:ext>
          </c:extLst>
        </c:ser>
        <c:ser>
          <c:idx val="16"/>
          <c:order val="16"/>
          <c:tx>
            <c:strRef>
              <c:f>PT_PRODUCT!$AA$3:$AA$5</c:f>
              <c:strCache>
                <c:ptCount val="1"/>
                <c:pt idx="0">
                  <c:v>Smartphone - Electronics</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PT_PRODUCT!$AA$6</c:f>
              <c:numCache>
                <c:formatCode>General</c:formatCode>
                <c:ptCount val="1"/>
                <c:pt idx="0">
                  <c:v>114000</c:v>
                </c:pt>
              </c:numCache>
            </c:numRef>
          </c:val>
          <c:extLst>
            <c:ext xmlns:c16="http://schemas.microsoft.com/office/drawing/2014/chart" uri="{C3380CC4-5D6E-409C-BE32-E72D297353CC}">
              <c16:uniqueId val="{0000008E-5674-405B-B5F1-4CCC07E30124}"/>
            </c:ext>
          </c:extLst>
        </c:ser>
        <c:ser>
          <c:idx val="17"/>
          <c:order val="17"/>
          <c:tx>
            <c:strRef>
              <c:f>PT_PRODUCT!$AB$3:$AB$5</c:f>
              <c:strCache>
                <c:ptCount val="1"/>
                <c:pt idx="0">
                  <c:v>Smartphone - Furniture</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PT_PRODUCT!$AB$6</c:f>
              <c:numCache>
                <c:formatCode>General</c:formatCode>
                <c:ptCount val="1"/>
                <c:pt idx="0">
                  <c:v>24000</c:v>
                </c:pt>
              </c:numCache>
            </c:numRef>
          </c:val>
          <c:extLst>
            <c:ext xmlns:c16="http://schemas.microsoft.com/office/drawing/2014/chart" uri="{C3380CC4-5D6E-409C-BE32-E72D297353CC}">
              <c16:uniqueId val="{0000008F-5674-405B-B5F1-4CCC07E30124}"/>
            </c:ext>
          </c:extLst>
        </c:ser>
        <c:ser>
          <c:idx val="18"/>
          <c:order val="18"/>
          <c:tx>
            <c:strRef>
              <c:f>PT_PRODUCT!$AD$3:$AD$5</c:f>
              <c:strCache>
                <c:ptCount val="1"/>
                <c:pt idx="0">
                  <c:v>tab  - furniture </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PT_PRODUCT!$AD$6</c:f>
              <c:numCache>
                <c:formatCode>General</c:formatCode>
                <c:ptCount val="1"/>
                <c:pt idx="0">
                  <c:v>100000</c:v>
                </c:pt>
              </c:numCache>
            </c:numRef>
          </c:val>
          <c:extLst>
            <c:ext xmlns:c16="http://schemas.microsoft.com/office/drawing/2014/chart" uri="{C3380CC4-5D6E-409C-BE32-E72D297353CC}">
              <c16:uniqueId val="{00000090-5674-405B-B5F1-4CCC07E30124}"/>
            </c:ext>
          </c:extLst>
        </c:ser>
        <c:ser>
          <c:idx val="19"/>
          <c:order val="19"/>
          <c:tx>
            <c:strRef>
              <c:f>PT_PRODUCT!$AF$3:$AF$5</c:f>
              <c:strCache>
                <c:ptCount val="1"/>
                <c:pt idx="0">
                  <c:v>Tablet - Electronics</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PT_PRODUCT!$AF$6</c:f>
              <c:numCache>
                <c:formatCode>General</c:formatCode>
                <c:ptCount val="1"/>
                <c:pt idx="0">
                  <c:v>115000</c:v>
                </c:pt>
              </c:numCache>
            </c:numRef>
          </c:val>
          <c:extLst>
            <c:ext xmlns:c16="http://schemas.microsoft.com/office/drawing/2014/chart" uri="{C3380CC4-5D6E-409C-BE32-E72D297353CC}">
              <c16:uniqueId val="{00000091-5674-405B-B5F1-4CCC07E30124}"/>
            </c:ext>
          </c:extLst>
        </c:ser>
        <c:ser>
          <c:idx val="20"/>
          <c:order val="20"/>
          <c:tx>
            <c:strRef>
              <c:f>PT_PRODUCT!$AG$3:$AG$5</c:f>
              <c:strCache>
                <c:ptCount val="1"/>
                <c:pt idx="0">
                  <c:v>Tablet - Furniture</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PT_PRODUCT!$AG$6</c:f>
              <c:numCache>
                <c:formatCode>General</c:formatCode>
                <c:ptCount val="1"/>
                <c:pt idx="0">
                  <c:v>16000</c:v>
                </c:pt>
              </c:numCache>
            </c:numRef>
          </c:val>
          <c:extLst>
            <c:ext xmlns:c16="http://schemas.microsoft.com/office/drawing/2014/chart" uri="{C3380CC4-5D6E-409C-BE32-E72D297353CC}">
              <c16:uniqueId val="{00000092-5674-405B-B5F1-4CCC07E30124}"/>
            </c:ext>
          </c:extLst>
        </c:ser>
        <c:ser>
          <c:idx val="21"/>
          <c:order val="21"/>
          <c:tx>
            <c:strRef>
              <c:f>PT_PRODUCT!$AI$3:$AI$5</c:f>
              <c:strCache>
                <c:ptCount val="1"/>
                <c:pt idx="0">
                  <c:v>Webcam - Electronics</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PT_PRODUCT!$AI$6</c:f>
              <c:numCache>
                <c:formatCode>General</c:formatCode>
                <c:ptCount val="1"/>
                <c:pt idx="0">
                  <c:v>145000</c:v>
                </c:pt>
              </c:numCache>
            </c:numRef>
          </c:val>
          <c:extLst>
            <c:ext xmlns:c16="http://schemas.microsoft.com/office/drawing/2014/chart" uri="{C3380CC4-5D6E-409C-BE32-E72D297353CC}">
              <c16:uniqueId val="{00000093-5674-405B-B5F1-4CCC07E30124}"/>
            </c:ext>
          </c:extLst>
        </c:ser>
        <c:ser>
          <c:idx val="22"/>
          <c:order val="22"/>
          <c:tx>
            <c:strRef>
              <c:f>PT_PRODUCT!$AK$3:$AK$5</c:f>
              <c:strCache>
                <c:ptCount val="1"/>
                <c:pt idx="0">
                  <c:v>(blank) - (blank)</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PT_PRODUCT!$A$6</c:f>
              <c:strCache>
                <c:ptCount val="1"/>
                <c:pt idx="0">
                  <c:v>Total</c:v>
                </c:pt>
              </c:strCache>
            </c:strRef>
          </c:cat>
          <c:val>
            <c:numRef>
              <c:f>PT_PRODUCT!$AK$6</c:f>
              <c:numCache>
                <c:formatCode>General</c:formatCode>
                <c:ptCount val="1"/>
              </c:numCache>
            </c:numRef>
          </c:val>
          <c:extLst>
            <c:ext xmlns:c16="http://schemas.microsoft.com/office/drawing/2014/chart" uri="{C3380CC4-5D6E-409C-BE32-E72D297353CC}">
              <c16:uniqueId val="{00000094-5674-405B-B5F1-4CCC07E30124}"/>
            </c:ext>
          </c:extLst>
        </c:ser>
        <c:dLbls>
          <c:dLblPos val="inEnd"/>
          <c:showLegendKey val="0"/>
          <c:showVal val="1"/>
          <c:showCatName val="0"/>
          <c:showSerName val="0"/>
          <c:showPercent val="0"/>
          <c:showBubbleSize val="0"/>
        </c:dLbls>
        <c:gapWidth val="219"/>
        <c:overlap val="-27"/>
        <c:axId val="582255855"/>
        <c:axId val="582253455"/>
      </c:barChart>
      <c:catAx>
        <c:axId val="58225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3455"/>
        <c:crosses val="autoZero"/>
        <c:auto val="1"/>
        <c:lblAlgn val="ctr"/>
        <c:lblOffset val="100"/>
        <c:noMultiLvlLbl val="0"/>
      </c:catAx>
      <c:valAx>
        <c:axId val="58225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25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186606</xdr:rowOff>
    </xdr:from>
    <xdr:to>
      <xdr:col>4</xdr:col>
      <xdr:colOff>587887</xdr:colOff>
      <xdr:row>20</xdr:row>
      <xdr:rowOff>6092</xdr:rowOff>
    </xdr:to>
    <xdr:graphicFrame macro="">
      <xdr:nvGraphicFramePr>
        <xdr:cNvPr id="2" name="Chart 1">
          <a:extLst>
            <a:ext uri="{FF2B5EF4-FFF2-40B4-BE49-F238E27FC236}">
              <a16:creationId xmlns:a16="http://schemas.microsoft.com/office/drawing/2014/main" id="{9DC40941-EF60-C847-C78D-C1F428DD9E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451977</xdr:colOff>
      <xdr:row>4</xdr:row>
      <xdr:rowOff>122749</xdr:rowOff>
    </xdr:from>
    <xdr:to>
      <xdr:col>10</xdr:col>
      <xdr:colOff>578977</xdr:colOff>
      <xdr:row>18</xdr:row>
      <xdr:rowOff>141594</xdr:rowOff>
    </xdr:to>
    <xdr:graphicFrame macro="">
      <xdr:nvGraphicFramePr>
        <xdr:cNvPr id="3" name="Chart 1">
          <a:extLst>
            <a:ext uri="{FF2B5EF4-FFF2-40B4-BE49-F238E27FC236}">
              <a16:creationId xmlns:a16="http://schemas.microsoft.com/office/drawing/2014/main" id="{24A6A2B1-16F8-07E5-102B-FC3331FB4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187837</xdr:colOff>
      <xdr:row>4</xdr:row>
      <xdr:rowOff>193163</xdr:rowOff>
    </xdr:from>
    <xdr:to>
      <xdr:col>6</xdr:col>
      <xdr:colOff>429137</xdr:colOff>
      <xdr:row>18</xdr:row>
      <xdr:rowOff>135808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4908C865-3EC6-CABD-8A5E-DE8871C111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71950" y="971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Ragavi" refreshedDate="46289.510913888887" createdVersion="8" refreshedVersion="8" minRefreshableVersion="3" recordCount="61" xr:uid="{41D555DD-9E48-4BDC-9EA4-8A9421893922}">
  <cacheSource type="worksheet">
    <worksheetSource name="Table1"/>
  </cacheSource>
  <cacheFields count="16">
    <cacheField name="Order ID" numFmtId="0">
      <sharedItems containsBlank="1"/>
    </cacheField>
    <cacheField name="Order Date" numFmtId="14">
      <sharedItems containsNonDate="0" containsDate="1" containsString="0" containsBlank="1" minDate="2026-01-05T00:00:00" maxDate="2026-05-01T00:00:00"/>
    </cacheField>
    <cacheField name="Customer ID" numFmtId="0">
      <sharedItems containsBlank="1"/>
    </cacheField>
    <cacheField name="Customer Name" numFmtId="0">
      <sharedItems containsBlank="1"/>
    </cacheField>
    <cacheField name="Gender" numFmtId="0">
      <sharedItems containsBlank="1" count="3">
        <m/>
        <s v="Male"/>
        <s v="Female"/>
      </sharedItems>
    </cacheField>
    <cacheField name="age" numFmtId="0">
      <sharedItems containsString="0" containsBlank="1" containsNumber="1" containsInteger="1" minValue="23" maxValue="38"/>
    </cacheField>
    <cacheField name="city" numFmtId="0">
      <sharedItems containsBlank="1"/>
    </cacheField>
    <cacheField name="state" numFmtId="0">
      <sharedItems containsBlank="1"/>
    </cacheField>
    <cacheField name="county" numFmtId="0">
      <sharedItems containsBlank="1"/>
    </cacheField>
    <cacheField name="product ID" numFmtId="0">
      <sharedItems containsBlank="1" count="61">
        <m/>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haredItems>
    </cacheField>
    <cacheField name="Product" numFmtId="0">
      <sharedItems containsBlank="1" count="14">
        <m/>
        <s v="tab "/>
        <s v="Laptop"/>
        <s v="Smartphone"/>
        <s v="Office Chair"/>
        <s v="Desk"/>
        <s v="Headphones"/>
        <s v="Printer"/>
        <s v="Keyboard"/>
        <s v="Monitor"/>
        <s v="Bookshelf"/>
        <s v="Mouse"/>
        <s v="Tablet"/>
        <s v="Webcam"/>
      </sharedItems>
    </cacheField>
    <cacheField name="Category" numFmtId="0">
      <sharedItems containsBlank="1" count="4">
        <m/>
        <s v="furniture "/>
        <s v="Electronics"/>
        <s v="Furniture"/>
      </sharedItems>
    </cacheField>
    <cacheField name="Region" numFmtId="0">
      <sharedItems containsBlank="1" count="5">
        <m/>
        <s v="south"/>
        <s v="West"/>
        <s v="North"/>
        <s v="East"/>
      </sharedItems>
    </cacheField>
    <cacheField name="Quantity" numFmtId="0">
      <sharedItems containsString="0" containsBlank="1" containsNumber="1" containsInteger="1" minValue="1" maxValue="5"/>
    </cacheField>
    <cacheField name="UNIT PRICE" numFmtId="43">
      <sharedItems containsString="0" containsBlank="1" containsNumber="1" containsInteger="1" minValue="1000" maxValue="78000"/>
    </cacheField>
    <cacheField name="Sales" numFmtId="43">
      <sharedItems containsString="0" containsBlank="1" containsNumber="1" containsInteger="1" minValue="1000" maxValue="105000"/>
    </cacheField>
  </cacheFields>
  <extLst>
    <ext xmlns:x14="http://schemas.microsoft.com/office/spreadsheetml/2009/9/main" uri="{725AE2AE-9491-48be-B2B4-4EB974FC3084}">
      <x14:pivotCacheDefinition pivotCacheId="6845170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m/>
    <m/>
    <m/>
    <m/>
    <x v="0"/>
    <m/>
    <m/>
    <m/>
    <m/>
    <x v="0"/>
    <x v="0"/>
    <x v="0"/>
    <x v="0"/>
    <m/>
    <m/>
    <m/>
  </r>
  <r>
    <s v="ORD001"/>
    <d v="2026-01-05T00:00:00"/>
    <s v="CUST001"/>
    <s v="Ravi Kumar"/>
    <x v="1"/>
    <n v="28"/>
    <s v="Chennai"/>
    <s v="Tamil Nadu"/>
    <s v="India"/>
    <x v="1"/>
    <x v="1"/>
    <x v="1"/>
    <x v="1"/>
    <n v="5"/>
    <n v="78000"/>
    <n v="100000"/>
  </r>
  <r>
    <s v="ORD002"/>
    <d v="2026-01-07T00:00:00"/>
    <s v="CUST002"/>
    <s v="Priya Sharma"/>
    <x v="2"/>
    <n v="25"/>
    <s v="Bengaluru"/>
    <s v="Karnataka"/>
    <s v="India"/>
    <x v="2"/>
    <x v="2"/>
    <x v="2"/>
    <x v="1"/>
    <n v="2"/>
    <n v="45000"/>
    <n v="90000"/>
  </r>
  <r>
    <s v="ORD003"/>
    <d v="2026-01-10T00:00:00"/>
    <s v="CUST003"/>
    <s v="Arun Kumar"/>
    <x v="1"/>
    <n v="32"/>
    <s v="Coimbatore"/>
    <s v="Tamil Nadu"/>
    <s v="India"/>
    <x v="3"/>
    <x v="3"/>
    <x v="2"/>
    <x v="2"/>
    <n v="1"/>
    <n v="35000"/>
    <n v="35000"/>
  </r>
  <r>
    <s v="ORD004"/>
    <d v="2026-01-12T00:00:00"/>
    <s v="CUST004"/>
    <s v="Divya Raj"/>
    <x v="2"/>
    <n v="27"/>
    <s v="Madurai"/>
    <s v="Tamil Nadu"/>
    <s v="India"/>
    <x v="4"/>
    <x v="4"/>
    <x v="3"/>
    <x v="1"/>
    <n v="3"/>
    <n v="5000"/>
    <n v="15000"/>
  </r>
  <r>
    <s v="ORD005"/>
    <d v="2026-01-15T00:00:00"/>
    <s v="CUST005"/>
    <s v="Karthik S"/>
    <x v="1"/>
    <n v="30"/>
    <s v="Hyderabad"/>
    <s v="Telangana"/>
    <s v="India"/>
    <x v="5"/>
    <x v="5"/>
    <x v="3"/>
    <x v="3"/>
    <n v="2"/>
    <n v="8000"/>
    <n v="16000"/>
  </r>
  <r>
    <s v="ORD006"/>
    <d v="2026-01-18T00:00:00"/>
    <s v="CUST006"/>
    <s v="Anitha R"/>
    <x v="2"/>
    <n v="24"/>
    <s v="Chennai"/>
    <s v="Tamil Nadu"/>
    <s v="India"/>
    <x v="6"/>
    <x v="6"/>
    <x v="2"/>
    <x v="4"/>
    <n v="4"/>
    <n v="2500"/>
    <n v="10000"/>
  </r>
  <r>
    <s v="ORD007"/>
    <d v="2026-01-21T00:00:00"/>
    <s v="CUST007"/>
    <s v="Vijay Kumar"/>
    <x v="1"/>
    <n v="35"/>
    <s v="Mumbai"/>
    <s v="Maharashtra"/>
    <s v="India"/>
    <x v="7"/>
    <x v="7"/>
    <x v="2"/>
    <x v="1"/>
    <n v="1"/>
    <n v="12000"/>
    <n v="12000"/>
  </r>
  <r>
    <s v="ORD008"/>
    <d v="2026-01-24T00:00:00"/>
    <s v="CUST008"/>
    <s v="Sneha Devi"/>
    <x v="2"/>
    <n v="29"/>
    <s v="Pune"/>
    <s v="Maharashtra"/>
    <s v="India"/>
    <x v="8"/>
    <x v="8"/>
    <x v="2"/>
    <x v="2"/>
    <n v="5"/>
    <n v="1500"/>
    <n v="7500"/>
  </r>
  <r>
    <s v="ORD009"/>
    <d v="2026-01-27T00:00:00"/>
    <s v="CUST009"/>
    <s v="Suresh B"/>
    <x v="1"/>
    <n v="31"/>
    <s v="Delhi"/>
    <s v="Delhi"/>
    <s v="India"/>
    <x v="9"/>
    <x v="9"/>
    <x v="2"/>
    <x v="3"/>
    <n v="2"/>
    <n v="18000"/>
    <n v="36000"/>
  </r>
  <r>
    <s v="ORD010"/>
    <d v="2026-01-30T00:00:00"/>
    <s v="CUST010"/>
    <s v="Meena K"/>
    <x v="2"/>
    <n v="26"/>
    <s v="Kochi"/>
    <s v="Kerala"/>
    <s v="India"/>
    <x v="10"/>
    <x v="10"/>
    <x v="3"/>
    <x v="1"/>
    <n v="1"/>
    <n v="7000"/>
    <n v="7000"/>
  </r>
  <r>
    <s v="ORD011"/>
    <d v="2026-02-03T00:00:00"/>
    <s v="CUST011"/>
    <s v="Rahul M"/>
    <x v="1"/>
    <n v="29"/>
    <s v="Chennai"/>
    <s v="Tamil Nadu"/>
    <s v="India"/>
    <x v="11"/>
    <x v="11"/>
    <x v="2"/>
    <x v="4"/>
    <n v="3"/>
    <n v="1000"/>
    <n v="3000"/>
  </r>
  <r>
    <s v="ORD012"/>
    <d v="2026-02-06T00:00:00"/>
    <s v="CUST012"/>
    <s v="Pooja R"/>
    <x v="2"/>
    <n v="23"/>
    <s v="Bengaluru"/>
    <s v="Karnataka"/>
    <s v="India"/>
    <x v="12"/>
    <x v="12"/>
    <x v="2"/>
    <x v="2"/>
    <n v="2"/>
    <n v="25000"/>
    <n v="50000"/>
  </r>
  <r>
    <s v="ORD013"/>
    <d v="2026-02-09T00:00:00"/>
    <s v="CUST013"/>
    <s v="Manoj Kumar"/>
    <x v="1"/>
    <n v="34"/>
    <s v="Coimbatore"/>
    <s v="Tamil Nadu"/>
    <s v="India"/>
    <x v="13"/>
    <x v="13"/>
    <x v="2"/>
    <x v="1"/>
    <n v="1"/>
    <n v="3000"/>
    <n v="3000"/>
  </r>
  <r>
    <s v="ORD014"/>
    <d v="2026-02-12T00:00:00"/>
    <s v="CUST014"/>
    <s v="Lakshmi S"/>
    <x v="2"/>
    <n v="28"/>
    <s v="Madurai"/>
    <s v="Tamil Nadu"/>
    <s v="India"/>
    <x v="14"/>
    <x v="3"/>
    <x v="2"/>
    <x v="3"/>
    <n v="2"/>
    <n v="35000"/>
    <n v="70000"/>
  </r>
  <r>
    <s v="ORD015"/>
    <d v="2026-02-15T00:00:00"/>
    <s v="CUST015"/>
    <s v="Deepak R"/>
    <x v="1"/>
    <n v="33"/>
    <s v="Hyderabad"/>
    <s v="Telangana"/>
    <s v="India"/>
    <x v="15"/>
    <x v="2"/>
    <x v="3"/>
    <x v="4"/>
    <n v="3"/>
    <n v="5000"/>
    <n v="15000"/>
  </r>
  <r>
    <s v="ORD016"/>
    <d v="2026-02-18T00:00:00"/>
    <s v="CUST016"/>
    <s v="Kavya M"/>
    <x v="2"/>
    <n v="26"/>
    <s v="Chennai"/>
    <s v="Tamil Nadu"/>
    <s v="India"/>
    <x v="16"/>
    <x v="4"/>
    <x v="2"/>
    <x v="1"/>
    <n v="2"/>
    <n v="12000"/>
    <n v="24000"/>
  </r>
  <r>
    <s v="ORD017"/>
    <d v="2026-02-21T00:00:00"/>
    <s v="CUST017"/>
    <s v="Sanjay P"/>
    <x v="1"/>
    <n v="30"/>
    <s v="Mumbai"/>
    <s v="Maharashtra"/>
    <s v="India"/>
    <x v="17"/>
    <x v="7"/>
    <x v="2"/>
    <x v="2"/>
    <n v="1"/>
    <n v="18000"/>
    <n v="18000"/>
  </r>
  <r>
    <s v="ORD018"/>
    <d v="2026-02-24T00:00:00"/>
    <s v="CUST018"/>
    <s v="Nandhini K"/>
    <x v="2"/>
    <n v="25"/>
    <s v="Pune"/>
    <s v="Maharashtra"/>
    <s v="India"/>
    <x v="18"/>
    <x v="9"/>
    <x v="2"/>
    <x v="3"/>
    <n v="4"/>
    <n v="2500"/>
    <n v="10000"/>
  </r>
  <r>
    <s v="ORD019"/>
    <d v="2026-02-27T00:00:00"/>
    <s v="CUST019"/>
    <s v="Prakash V"/>
    <x v="1"/>
    <n v="36"/>
    <s v="Delhi"/>
    <s v="Delhi"/>
    <s v="India"/>
    <x v="19"/>
    <x v="8"/>
    <x v="3"/>
    <x v="1"/>
    <n v="2"/>
    <n v="7000"/>
    <n v="14000"/>
  </r>
  <r>
    <s v="ORD020"/>
    <d v="2026-02-28T00:00:00"/>
    <s v="CUST020"/>
    <s v="Shalini R"/>
    <x v="2"/>
    <n v="27"/>
    <s v="Kochi"/>
    <s v="Kerala"/>
    <s v="India"/>
    <x v="20"/>
    <x v="11"/>
    <x v="2"/>
    <x v="4"/>
    <n v="3"/>
    <n v="1000"/>
    <n v="3000"/>
  </r>
  <r>
    <s v="ORD021"/>
    <d v="2026-03-03T00:00:00"/>
    <s v="CUST021"/>
    <s v="Ajay Kumar"/>
    <x v="1"/>
    <n v="29"/>
    <s v="Chennai"/>
    <s v="Tamil Nadu"/>
    <s v="India"/>
    <x v="21"/>
    <x v="5"/>
    <x v="3"/>
    <x v="2"/>
    <n v="1"/>
    <n v="8000"/>
    <n v="8000"/>
  </r>
  <r>
    <s v="ORD022"/>
    <d v="2026-03-06T00:00:00"/>
    <s v="CUST022"/>
    <s v="Swetha P"/>
    <x v="2"/>
    <n v="24"/>
    <s v="Bengaluru"/>
    <s v="Karnataka"/>
    <s v="India"/>
    <x v="22"/>
    <x v="6"/>
    <x v="2"/>
    <x v="1"/>
    <n v="2"/>
    <n v="1500"/>
    <n v="3000"/>
  </r>
  <r>
    <s v="ORD023"/>
    <d v="2026-03-09T00:00:00"/>
    <s v="CUST023"/>
    <s v="Surya M"/>
    <x v="1"/>
    <n v="31"/>
    <s v="Coimbatore"/>
    <s v="Tamil Nadu"/>
    <s v="India"/>
    <x v="23"/>
    <x v="12"/>
    <x v="2"/>
    <x v="3"/>
    <n v="1"/>
    <n v="25000"/>
    <n v="25000"/>
  </r>
  <r>
    <s v="ORD024"/>
    <d v="2026-03-12T00:00:00"/>
    <s v="CUST024"/>
    <s v="Keerthana S"/>
    <x v="2"/>
    <n v="26"/>
    <s v="Madurai"/>
    <s v="Tamil Nadu"/>
    <s v="India"/>
    <x v="24"/>
    <x v="13"/>
    <x v="2"/>
    <x v="4"/>
    <n v="2"/>
    <n v="45000"/>
    <n v="90000"/>
  </r>
  <r>
    <s v="ORD025"/>
    <d v="2026-03-15T00:00:00"/>
    <s v="CUST025"/>
    <s v="Ramesh B"/>
    <x v="1"/>
    <n v="38"/>
    <s v="Hyderabad"/>
    <s v="Telangana"/>
    <s v="India"/>
    <x v="25"/>
    <x v="2"/>
    <x v="2"/>
    <x v="1"/>
    <n v="3"/>
    <n v="35000"/>
    <n v="105000"/>
  </r>
  <r>
    <s v="ORD026"/>
    <d v="2026-03-18T00:00:00"/>
    <s v="CUST026"/>
    <s v="Harini K"/>
    <x v="2"/>
    <n v="25"/>
    <s v="Chennai"/>
    <s v="Tamil Nadu"/>
    <s v="India"/>
    <x v="26"/>
    <x v="3"/>
    <x v="3"/>
    <x v="2"/>
    <n v="2"/>
    <n v="5000"/>
    <n v="10000"/>
  </r>
  <r>
    <s v="ORD027"/>
    <d v="2026-03-21T00:00:00"/>
    <s v="CUST027"/>
    <s v="Mohan Raj"/>
    <x v="1"/>
    <n v="32"/>
    <s v="Mumbai"/>
    <s v="Maharashtra"/>
    <s v="India"/>
    <x v="27"/>
    <x v="10"/>
    <x v="2"/>
    <x v="3"/>
    <n v="1"/>
    <n v="18000"/>
    <n v="18000"/>
  </r>
  <r>
    <s v="ORD028"/>
    <d v="2026-03-24T00:00:00"/>
    <s v="CUST028"/>
    <s v="Aishwarya R"/>
    <x v="2"/>
    <n v="28"/>
    <s v="Pune"/>
    <s v="Maharashtra"/>
    <s v="India"/>
    <x v="28"/>
    <x v="9"/>
    <x v="2"/>
    <x v="4"/>
    <n v="4"/>
    <n v="12000"/>
    <n v="48000"/>
  </r>
  <r>
    <s v="ORD029"/>
    <d v="2026-03-27T00:00:00"/>
    <s v="CUST029"/>
    <s v="Dinesh S"/>
    <x v="1"/>
    <n v="30"/>
    <s v="Delhi"/>
    <s v="Delhi"/>
    <s v="India"/>
    <x v="29"/>
    <x v="7"/>
    <x v="2"/>
    <x v="1"/>
    <n v="2"/>
    <n v="2500"/>
    <n v="5000"/>
  </r>
  <r>
    <s v="ORD030"/>
    <d v="2026-03-30T00:00:00"/>
    <s v="CUST030"/>
    <s v="Revathi M"/>
    <x v="2"/>
    <n v="27"/>
    <s v="Kochi"/>
    <s v="Kerala"/>
    <s v="India"/>
    <x v="30"/>
    <x v="8"/>
    <x v="3"/>
    <x v="2"/>
    <n v="3"/>
    <n v="7000"/>
    <n v="21000"/>
  </r>
  <r>
    <s v="ORD031"/>
    <d v="2026-04-03T00:00:00"/>
    <s v="CUST031"/>
    <s v="Pranav K"/>
    <x v="1"/>
    <n v="33"/>
    <s v="Chennai"/>
    <s v="Tamil Nadu"/>
    <s v="India"/>
    <x v="31"/>
    <x v="11"/>
    <x v="2"/>
    <x v="3"/>
    <n v="1"/>
    <n v="1000"/>
    <n v="1000"/>
  </r>
  <r>
    <s v="ORD032"/>
    <d v="2026-04-06T00:00:00"/>
    <s v="CUST032"/>
    <s v="Deepa R"/>
    <x v="2"/>
    <n v="24"/>
    <s v="Bengaluru"/>
    <s v="Karnataka"/>
    <s v="India"/>
    <x v="32"/>
    <x v="4"/>
    <x v="2"/>
    <x v="4"/>
    <n v="2"/>
    <n v="25000"/>
    <n v="50000"/>
  </r>
  <r>
    <s v="ORD033"/>
    <d v="2026-04-09T00:00:00"/>
    <s v="CUST033"/>
    <s v="Aravind S"/>
    <x v="1"/>
    <n v="29"/>
    <s v="Coimbatore"/>
    <s v="Tamil Nadu"/>
    <s v="India"/>
    <x v="33"/>
    <x v="5"/>
    <x v="2"/>
    <x v="1"/>
    <n v="1"/>
    <n v="3000"/>
    <n v="3000"/>
  </r>
  <r>
    <s v="ORD034"/>
    <d v="2026-04-12T00:00:00"/>
    <s v="CUST034"/>
    <s v="Monisha P"/>
    <x v="2"/>
    <n v="26"/>
    <s v="Madurai"/>
    <s v="Tamil Nadu"/>
    <s v="India"/>
    <x v="34"/>
    <x v="6"/>
    <x v="3"/>
    <x v="2"/>
    <n v="2"/>
    <n v="5000"/>
    <n v="10000"/>
  </r>
  <r>
    <s v="ORD035"/>
    <d v="2026-04-15T00:00:00"/>
    <s v="CUST035"/>
    <s v="Gokul M"/>
    <x v="1"/>
    <n v="35"/>
    <s v="Hyderabad"/>
    <s v="Telangana"/>
    <s v="India"/>
    <x v="35"/>
    <x v="12"/>
    <x v="2"/>
    <x v="3"/>
    <n v="3"/>
    <n v="12000"/>
    <n v="36000"/>
  </r>
  <r>
    <s v="ORD036"/>
    <d v="2026-04-18T00:00:00"/>
    <s v="CUST036"/>
    <s v="Reshma K"/>
    <x v="2"/>
    <n v="28"/>
    <s v="Chennai"/>
    <s v="Tamil Nadu"/>
    <s v="India"/>
    <x v="36"/>
    <x v="13"/>
    <x v="2"/>
    <x v="4"/>
    <n v="1"/>
    <n v="18000"/>
    <n v="18000"/>
  </r>
  <r>
    <s v="ORD037"/>
    <d v="2026-04-21T00:00:00"/>
    <s v="CUST037"/>
    <s v="Varun R"/>
    <x v="1"/>
    <n v="31"/>
    <s v="Mumbai"/>
    <s v="Maharashtra"/>
    <s v="India"/>
    <x v="37"/>
    <x v="2"/>
    <x v="2"/>
    <x v="1"/>
    <n v="4"/>
    <n v="2500"/>
    <n v="10000"/>
  </r>
  <r>
    <s v="ORD038"/>
    <d v="2026-04-24T00:00:00"/>
    <s v="CUST038"/>
    <s v="Swathi S"/>
    <x v="2"/>
    <n v="25"/>
    <s v="Pune"/>
    <s v="Maharashtra"/>
    <s v="India"/>
    <x v="38"/>
    <x v="3"/>
    <x v="3"/>
    <x v="2"/>
    <n v="2"/>
    <n v="7000"/>
    <n v="14000"/>
  </r>
  <r>
    <s v="ORD039"/>
    <d v="2026-04-27T00:00:00"/>
    <s v="CUST039"/>
    <s v="Pradeep K"/>
    <x v="1"/>
    <n v="37"/>
    <s v="Delhi"/>
    <s v="Delhi"/>
    <s v="India"/>
    <x v="39"/>
    <x v="7"/>
    <x v="2"/>
    <x v="3"/>
    <n v="1"/>
    <n v="1000"/>
    <n v="1000"/>
  </r>
  <r>
    <s v="ORD040"/>
    <d v="2026-04-30T00:00:00"/>
    <s v="CUST040"/>
    <s v="Anjali M"/>
    <x v="2"/>
    <n v="26"/>
    <s v="Kochi"/>
    <s v="Kerala"/>
    <s v="India"/>
    <x v="40"/>
    <x v="9"/>
    <x v="2"/>
    <x v="4"/>
    <n v="2"/>
    <n v="45000"/>
    <n v="90000"/>
  </r>
  <r>
    <s v="ORD041"/>
    <d v="2026-01-05T00:00:00"/>
    <s v="CUST001"/>
    <s v="Ravi Kumar"/>
    <x v="1"/>
    <n v="28"/>
    <s v="Chennai"/>
    <s v="Tamil Nadu"/>
    <s v="India"/>
    <x v="41"/>
    <x v="8"/>
    <x v="2"/>
    <x v="1"/>
    <n v="3"/>
    <n v="35000"/>
    <n v="105000"/>
  </r>
  <r>
    <s v="ORD042"/>
    <d v="2026-01-07T00:00:00"/>
    <s v="CUST002"/>
    <s v="Priya Sharma"/>
    <x v="2"/>
    <n v="25"/>
    <s v="Bengaluru"/>
    <s v="Karnataka"/>
    <s v="India"/>
    <x v="42"/>
    <x v="11"/>
    <x v="3"/>
    <x v="2"/>
    <n v="1"/>
    <n v="8000"/>
    <n v="8000"/>
  </r>
  <r>
    <s v="ORD043"/>
    <d v="2026-01-10T00:00:00"/>
    <s v="CUST003"/>
    <s v="Arun Kumar"/>
    <x v="1"/>
    <n v="32"/>
    <s v="Coimbatore"/>
    <s v="Tamil Nadu"/>
    <s v="India"/>
    <x v="43"/>
    <x v="10"/>
    <x v="2"/>
    <x v="3"/>
    <n v="2"/>
    <n v="18000"/>
    <n v="36000"/>
  </r>
  <r>
    <s v="ORD044"/>
    <d v="2026-01-12T00:00:00"/>
    <s v="CUST004"/>
    <s v="Divya Raj"/>
    <x v="2"/>
    <n v="27"/>
    <s v="Madurai"/>
    <s v="Tamil Nadu"/>
    <s v="India"/>
    <x v="44"/>
    <x v="4"/>
    <x v="2"/>
    <x v="4"/>
    <n v="3"/>
    <n v="12000"/>
    <n v="36000"/>
  </r>
  <r>
    <s v="ORD045"/>
    <d v="2026-01-15T00:00:00"/>
    <s v="CUST005"/>
    <s v="Karthik S"/>
    <x v="1"/>
    <n v="30"/>
    <s v="Hyderabad"/>
    <s v="Telangana"/>
    <s v="India"/>
    <x v="45"/>
    <x v="5"/>
    <x v="2"/>
    <x v="1"/>
    <n v="1"/>
    <n v="2500"/>
    <n v="2500"/>
  </r>
  <r>
    <s v="ORD046"/>
    <d v="2026-01-18T00:00:00"/>
    <s v="CUST006"/>
    <s v="Anitha R"/>
    <x v="2"/>
    <n v="24"/>
    <s v="Chennai"/>
    <s v="Tamil Nadu"/>
    <s v="India"/>
    <x v="46"/>
    <x v="6"/>
    <x v="3"/>
    <x v="2"/>
    <n v="2"/>
    <n v="7000"/>
    <n v="14000"/>
  </r>
  <r>
    <s v="ORD047"/>
    <d v="2026-01-21T00:00:00"/>
    <s v="CUST007"/>
    <s v="Vijay Kumar"/>
    <x v="1"/>
    <n v="35"/>
    <s v="Mumbai"/>
    <s v="Maharashtra"/>
    <s v="India"/>
    <x v="47"/>
    <x v="12"/>
    <x v="2"/>
    <x v="3"/>
    <n v="4"/>
    <n v="1000"/>
    <n v="4000"/>
  </r>
  <r>
    <s v="ORD048"/>
    <d v="2026-01-24T00:00:00"/>
    <s v="CUST008"/>
    <s v="Sneha Devi"/>
    <x v="2"/>
    <n v="29"/>
    <s v="Pune"/>
    <s v="Maharashtra"/>
    <s v="India"/>
    <x v="48"/>
    <x v="13"/>
    <x v="2"/>
    <x v="4"/>
    <n v="1"/>
    <n v="25000"/>
    <n v="25000"/>
  </r>
  <r>
    <s v="ORD049"/>
    <d v="2026-01-27T00:00:00"/>
    <s v="CUST009"/>
    <s v="Suresh B"/>
    <x v="1"/>
    <n v="31"/>
    <s v="Delhi"/>
    <s v="Delhi"/>
    <s v="India"/>
    <x v="49"/>
    <x v="2"/>
    <x v="3"/>
    <x v="1"/>
    <n v="2"/>
    <n v="5000"/>
    <n v="10000"/>
  </r>
  <r>
    <s v="ORD050"/>
    <d v="2026-01-30T00:00:00"/>
    <s v="CUST010"/>
    <s v="Meena K"/>
    <x v="2"/>
    <n v="26"/>
    <s v="Kochi"/>
    <s v="Kerala"/>
    <s v="India"/>
    <x v="50"/>
    <x v="3"/>
    <x v="2"/>
    <x v="2"/>
    <n v="3"/>
    <n v="3000"/>
    <n v="9000"/>
  </r>
  <r>
    <s v="ORD051"/>
    <d v="2026-02-03T00:00:00"/>
    <s v="CUST011"/>
    <s v="Rahul M"/>
    <x v="1"/>
    <n v="29"/>
    <s v="Chennai"/>
    <s v="Tamil Nadu"/>
    <s v="India"/>
    <x v="51"/>
    <x v="7"/>
    <x v="2"/>
    <x v="3"/>
    <n v="1"/>
    <n v="45000"/>
    <n v="45000"/>
  </r>
  <r>
    <s v="ORD052"/>
    <d v="2026-02-06T00:00:00"/>
    <s v="CUST012"/>
    <s v="Pooja R"/>
    <x v="2"/>
    <n v="23"/>
    <s v="Bengaluru"/>
    <s v="Karnataka"/>
    <s v="India"/>
    <x v="52"/>
    <x v="9"/>
    <x v="2"/>
    <x v="4"/>
    <n v="2"/>
    <n v="35000"/>
    <n v="70000"/>
  </r>
  <r>
    <s v="ORD053"/>
    <d v="2026-02-09T00:00:00"/>
    <s v="CUST013"/>
    <s v="Manoj Kumar"/>
    <x v="1"/>
    <n v="34"/>
    <s v="Coimbatore"/>
    <s v="Tamil Nadu"/>
    <s v="India"/>
    <x v="53"/>
    <x v="8"/>
    <x v="3"/>
    <x v="1"/>
    <n v="3"/>
    <n v="5000"/>
    <n v="15000"/>
  </r>
  <r>
    <s v="ORD054"/>
    <d v="2026-02-12T00:00:00"/>
    <s v="CUST014"/>
    <s v="Lakshmi S"/>
    <x v="2"/>
    <n v="28"/>
    <s v="Madurai"/>
    <s v="Tamil Nadu"/>
    <s v="India"/>
    <x v="54"/>
    <x v="11"/>
    <x v="2"/>
    <x v="2"/>
    <n v="2"/>
    <n v="18000"/>
    <n v="36000"/>
  </r>
  <r>
    <s v="ORD055"/>
    <d v="2026-02-15T00:00:00"/>
    <s v="CUST015"/>
    <s v="Deepak R"/>
    <x v="1"/>
    <n v="33"/>
    <s v="Hyderabad"/>
    <s v="Telangana"/>
    <s v="India"/>
    <x v="55"/>
    <x v="10"/>
    <x v="2"/>
    <x v="3"/>
    <n v="1"/>
    <n v="12000"/>
    <n v="12000"/>
  </r>
  <r>
    <s v="ORD056"/>
    <d v="2026-02-18T00:00:00"/>
    <s v="CUST016"/>
    <s v="Kavya M"/>
    <x v="2"/>
    <n v="26"/>
    <s v="Chennai"/>
    <s v="Tamil Nadu"/>
    <s v="India"/>
    <x v="56"/>
    <x v="4"/>
    <x v="3"/>
    <x v="4"/>
    <n v="2"/>
    <n v="7000"/>
    <n v="14000"/>
  </r>
  <r>
    <s v="ORD057"/>
    <d v="2026-02-21T00:00:00"/>
    <s v="CUST017"/>
    <s v="Sanjay P"/>
    <x v="1"/>
    <n v="30"/>
    <s v="Mumbai"/>
    <s v="Maharashtra"/>
    <s v="India"/>
    <x v="57"/>
    <x v="5"/>
    <x v="2"/>
    <x v="1"/>
    <n v="4"/>
    <n v="2500"/>
    <n v="10000"/>
  </r>
  <r>
    <s v="ORD058"/>
    <d v="2026-02-24T00:00:00"/>
    <s v="CUST018"/>
    <s v="Nandhini K"/>
    <x v="2"/>
    <n v="25"/>
    <s v="Pune"/>
    <s v="Maharashtra"/>
    <s v="India"/>
    <x v="58"/>
    <x v="6"/>
    <x v="2"/>
    <x v="2"/>
    <n v="1"/>
    <n v="25000"/>
    <n v="25000"/>
  </r>
  <r>
    <s v="ORD059"/>
    <d v="2026-02-27T00:00:00"/>
    <s v="CUST019"/>
    <s v="Prakash V"/>
    <x v="1"/>
    <n v="36"/>
    <s v="Delhi"/>
    <s v="Delhi"/>
    <s v="India"/>
    <x v="59"/>
    <x v="12"/>
    <x v="3"/>
    <x v="3"/>
    <n v="2"/>
    <n v="8000"/>
    <n v="16000"/>
  </r>
  <r>
    <s v="ORD060"/>
    <d v="2026-02-28T00:00:00"/>
    <s v="CUST020"/>
    <s v="Shalini R"/>
    <x v="2"/>
    <n v="27"/>
    <s v="Kochi"/>
    <s v="Kerala"/>
    <s v="India"/>
    <x v="60"/>
    <x v="13"/>
    <x v="2"/>
    <x v="1"/>
    <n v="3"/>
    <n v="3000"/>
    <n v="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F78C8B-2095-4EBB-A600-0E6AE4E6E9B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items count="6">
        <item h="1" x="4"/>
        <item h="1" x="3"/>
        <item x="1"/>
        <item h="1" x="2"/>
        <item h="1" x="0"/>
        <item t="default"/>
      </items>
    </pivotField>
    <pivotField showAll="0"/>
    <pivotField showAll="0"/>
    <pivotField dataField="1" showAll="0"/>
  </pivotFields>
  <rowFields count="1">
    <field x="11"/>
  </rowFields>
  <rowItems count="5">
    <i>
      <x/>
    </i>
    <i>
      <x v="1"/>
    </i>
    <i>
      <x v="2"/>
    </i>
    <i>
      <x v="3"/>
    </i>
    <i t="grand">
      <x/>
    </i>
  </rowItems>
  <colItems count="1">
    <i/>
  </colItems>
  <dataFields count="1">
    <dataField name="Sum of Sale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2A363-1FE5-49BC-AEE0-93C65C2B555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AM6" firstHeaderRow="1" firstDataRow="3" firstDataCol="1"/>
  <pivotFields count="16">
    <pivotField showAll="0"/>
    <pivotField showAll="0"/>
    <pivotField showAll="0"/>
    <pivotField showAll="0"/>
    <pivotField showAll="0">
      <items count="4">
        <item x="2"/>
        <item x="1"/>
        <item x="0"/>
        <item t="default"/>
      </items>
    </pivotField>
    <pivotField showAll="0"/>
    <pivotField showAll="0"/>
    <pivotField showAll="0"/>
    <pivotField showAll="0"/>
    <pivotField showAll="0">
      <items count="62">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t="default"/>
      </items>
    </pivotField>
    <pivotField axis="axisCol" showAll="0">
      <items count="15">
        <item x="10"/>
        <item x="5"/>
        <item x="6"/>
        <item x="8"/>
        <item x="2"/>
        <item x="9"/>
        <item x="11"/>
        <item x="4"/>
        <item x="7"/>
        <item x="3"/>
        <item x="1"/>
        <item x="12"/>
        <item x="13"/>
        <item x="0"/>
        <item t="default"/>
      </items>
    </pivotField>
    <pivotField axis="axisCol" showAll="0">
      <items count="5">
        <item x="2"/>
        <item x="3"/>
        <item x="1"/>
        <item x="0"/>
        <item t="default"/>
      </items>
    </pivotField>
    <pivotField showAll="0">
      <items count="6">
        <item x="4"/>
        <item x="3"/>
        <item x="1"/>
        <item x="2"/>
        <item x="0"/>
        <item t="default"/>
      </items>
    </pivotField>
    <pivotField showAll="0"/>
    <pivotField showAll="0"/>
    <pivotField dataField="1" showAll="0"/>
  </pivotFields>
  <rowItems count="1">
    <i/>
  </rowItems>
  <colFields count="2">
    <field x="10"/>
    <field x="11"/>
  </colFields>
  <colItems count="38">
    <i>
      <x/>
      <x/>
    </i>
    <i r="1">
      <x v="1"/>
    </i>
    <i t="default">
      <x/>
    </i>
    <i>
      <x v="1"/>
      <x/>
    </i>
    <i r="1">
      <x v="1"/>
    </i>
    <i t="default">
      <x v="1"/>
    </i>
    <i>
      <x v="2"/>
      <x/>
    </i>
    <i r="1">
      <x v="1"/>
    </i>
    <i t="default">
      <x v="2"/>
    </i>
    <i>
      <x v="3"/>
      <x/>
    </i>
    <i r="1">
      <x v="1"/>
    </i>
    <i t="default">
      <x v="3"/>
    </i>
    <i>
      <x v="4"/>
      <x/>
    </i>
    <i r="1">
      <x v="1"/>
    </i>
    <i t="default">
      <x v="4"/>
    </i>
    <i>
      <x v="5"/>
      <x/>
    </i>
    <i t="default">
      <x v="5"/>
    </i>
    <i>
      <x v="6"/>
      <x/>
    </i>
    <i r="1">
      <x v="1"/>
    </i>
    <i t="default">
      <x v="6"/>
    </i>
    <i>
      <x v="7"/>
      <x/>
    </i>
    <i r="1">
      <x v="1"/>
    </i>
    <i t="default">
      <x v="7"/>
    </i>
    <i>
      <x v="8"/>
      <x/>
    </i>
    <i t="default">
      <x v="8"/>
    </i>
    <i>
      <x v="9"/>
      <x/>
    </i>
    <i r="1">
      <x v="1"/>
    </i>
    <i t="default">
      <x v="9"/>
    </i>
    <i>
      <x v="10"/>
      <x v="2"/>
    </i>
    <i t="default">
      <x v="10"/>
    </i>
    <i>
      <x v="11"/>
      <x/>
    </i>
    <i r="1">
      <x v="1"/>
    </i>
    <i t="default">
      <x v="11"/>
    </i>
    <i>
      <x v="12"/>
      <x/>
    </i>
    <i t="default">
      <x v="12"/>
    </i>
    <i>
      <x v="13"/>
      <x v="3"/>
    </i>
    <i t="default">
      <x v="13"/>
    </i>
    <i t="grand">
      <x/>
    </i>
  </colItems>
  <dataFields count="1">
    <dataField name="Sum of Sales" fld="15" baseField="0" baseItem="0"/>
  </dataFields>
  <chartFormats count="24">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3">
          <reference field="4294967294" count="1" selected="0">
            <x v="0"/>
          </reference>
          <reference field="10" count="1" selected="0">
            <x v="0"/>
          </reference>
          <reference field="11" count="1" selected="0">
            <x v="1"/>
          </reference>
        </references>
      </pivotArea>
    </chartFormat>
    <chartFormat chart="13" format="6" series="1">
      <pivotArea type="data" outline="0" fieldPosition="0">
        <references count="3">
          <reference field="4294967294" count="1" selected="0">
            <x v="0"/>
          </reference>
          <reference field="10" count="1" selected="0">
            <x v="1"/>
          </reference>
          <reference field="11" count="1" selected="0">
            <x v="0"/>
          </reference>
        </references>
      </pivotArea>
    </chartFormat>
    <chartFormat chart="13" format="7" series="1">
      <pivotArea type="data" outline="0" fieldPosition="0">
        <references count="3">
          <reference field="4294967294" count="1" selected="0">
            <x v="0"/>
          </reference>
          <reference field="10" count="1" selected="0">
            <x v="1"/>
          </reference>
          <reference field="11" count="1" selected="0">
            <x v="1"/>
          </reference>
        </references>
      </pivotArea>
    </chartFormat>
    <chartFormat chart="13" format="8" series="1">
      <pivotArea type="data" outline="0" fieldPosition="0">
        <references count="3">
          <reference field="4294967294" count="1" selected="0">
            <x v="0"/>
          </reference>
          <reference field="10" count="1" selected="0">
            <x v="2"/>
          </reference>
          <reference field="11" count="1" selected="0">
            <x v="0"/>
          </reference>
        </references>
      </pivotArea>
    </chartFormat>
    <chartFormat chart="13" format="9" series="1">
      <pivotArea type="data" outline="0" fieldPosition="0">
        <references count="3">
          <reference field="4294967294" count="1" selected="0">
            <x v="0"/>
          </reference>
          <reference field="10" count="1" selected="0">
            <x v="2"/>
          </reference>
          <reference field="11" count="1" selected="0">
            <x v="1"/>
          </reference>
        </references>
      </pivotArea>
    </chartFormat>
    <chartFormat chart="13" format="10" series="1">
      <pivotArea type="data" outline="0" fieldPosition="0">
        <references count="3">
          <reference field="4294967294" count="1" selected="0">
            <x v="0"/>
          </reference>
          <reference field="10" count="1" selected="0">
            <x v="3"/>
          </reference>
          <reference field="11" count="1" selected="0">
            <x v="0"/>
          </reference>
        </references>
      </pivotArea>
    </chartFormat>
    <chartFormat chart="13" format="11" series="1">
      <pivotArea type="data" outline="0" fieldPosition="0">
        <references count="3">
          <reference field="4294967294" count="1" selected="0">
            <x v="0"/>
          </reference>
          <reference field="10" count="1" selected="0">
            <x v="3"/>
          </reference>
          <reference field="11" count="1" selected="0">
            <x v="1"/>
          </reference>
        </references>
      </pivotArea>
    </chartFormat>
    <chartFormat chart="13" format="12" series="1">
      <pivotArea type="data" outline="0" fieldPosition="0">
        <references count="3">
          <reference field="4294967294" count="1" selected="0">
            <x v="0"/>
          </reference>
          <reference field="10" count="1" selected="0">
            <x v="4"/>
          </reference>
          <reference field="11" count="1" selected="0">
            <x v="0"/>
          </reference>
        </references>
      </pivotArea>
    </chartFormat>
    <chartFormat chart="13" format="13" series="1">
      <pivotArea type="data" outline="0" fieldPosition="0">
        <references count="3">
          <reference field="4294967294" count="1" selected="0">
            <x v="0"/>
          </reference>
          <reference field="10" count="1" selected="0">
            <x v="4"/>
          </reference>
          <reference field="11" count="1" selected="0">
            <x v="1"/>
          </reference>
        </references>
      </pivotArea>
    </chartFormat>
    <chartFormat chart="13" format="14" series="1">
      <pivotArea type="data" outline="0" fieldPosition="0">
        <references count="3">
          <reference field="4294967294" count="1" selected="0">
            <x v="0"/>
          </reference>
          <reference field="10" count="1" selected="0">
            <x v="5"/>
          </reference>
          <reference field="11" count="1" selected="0">
            <x v="0"/>
          </reference>
        </references>
      </pivotArea>
    </chartFormat>
    <chartFormat chart="13" format="15" series="1">
      <pivotArea type="data" outline="0" fieldPosition="0">
        <references count="3">
          <reference field="4294967294" count="1" selected="0">
            <x v="0"/>
          </reference>
          <reference field="10" count="1" selected="0">
            <x v="6"/>
          </reference>
          <reference field="11" count="1" selected="0">
            <x v="0"/>
          </reference>
        </references>
      </pivotArea>
    </chartFormat>
    <chartFormat chart="13" format="16" series="1">
      <pivotArea type="data" outline="0" fieldPosition="0">
        <references count="3">
          <reference field="4294967294" count="1" selected="0">
            <x v="0"/>
          </reference>
          <reference field="10" count="1" selected="0">
            <x v="6"/>
          </reference>
          <reference field="11" count="1" selected="0">
            <x v="1"/>
          </reference>
        </references>
      </pivotArea>
    </chartFormat>
    <chartFormat chart="13" format="17" series="1">
      <pivotArea type="data" outline="0" fieldPosition="0">
        <references count="3">
          <reference field="4294967294" count="1" selected="0">
            <x v="0"/>
          </reference>
          <reference field="10" count="1" selected="0">
            <x v="7"/>
          </reference>
          <reference field="11" count="1" selected="0">
            <x v="0"/>
          </reference>
        </references>
      </pivotArea>
    </chartFormat>
    <chartFormat chart="13" format="18" series="1">
      <pivotArea type="data" outline="0" fieldPosition="0">
        <references count="3">
          <reference field="4294967294" count="1" selected="0">
            <x v="0"/>
          </reference>
          <reference field="10" count="1" selected="0">
            <x v="7"/>
          </reference>
          <reference field="11" count="1" selected="0">
            <x v="1"/>
          </reference>
        </references>
      </pivotArea>
    </chartFormat>
    <chartFormat chart="13" format="19" series="1">
      <pivotArea type="data" outline="0" fieldPosition="0">
        <references count="3">
          <reference field="4294967294" count="1" selected="0">
            <x v="0"/>
          </reference>
          <reference field="10" count="1" selected="0">
            <x v="8"/>
          </reference>
          <reference field="11" count="1" selected="0">
            <x v="0"/>
          </reference>
        </references>
      </pivotArea>
    </chartFormat>
    <chartFormat chart="13" format="20" series="1">
      <pivotArea type="data" outline="0" fieldPosition="0">
        <references count="3">
          <reference field="4294967294" count="1" selected="0">
            <x v="0"/>
          </reference>
          <reference field="10" count="1" selected="0">
            <x v="9"/>
          </reference>
          <reference field="11" count="1" selected="0">
            <x v="0"/>
          </reference>
        </references>
      </pivotArea>
    </chartFormat>
    <chartFormat chart="13" format="21" series="1">
      <pivotArea type="data" outline="0" fieldPosition="0">
        <references count="3">
          <reference field="4294967294" count="1" selected="0">
            <x v="0"/>
          </reference>
          <reference field="10" count="1" selected="0">
            <x v="9"/>
          </reference>
          <reference field="11" count="1" selected="0">
            <x v="1"/>
          </reference>
        </references>
      </pivotArea>
    </chartFormat>
    <chartFormat chart="13" format="22" series="1">
      <pivotArea type="data" outline="0" fieldPosition="0">
        <references count="3">
          <reference field="4294967294" count="1" selected="0">
            <x v="0"/>
          </reference>
          <reference field="10" count="1" selected="0">
            <x v="10"/>
          </reference>
          <reference field="11" count="1" selected="0">
            <x v="2"/>
          </reference>
        </references>
      </pivotArea>
    </chartFormat>
    <chartFormat chart="13" format="23" series="1">
      <pivotArea type="data" outline="0" fieldPosition="0">
        <references count="3">
          <reference field="4294967294" count="1" selected="0">
            <x v="0"/>
          </reference>
          <reference field="10" count="1" selected="0">
            <x v="11"/>
          </reference>
          <reference field="11" count="1" selected="0">
            <x v="0"/>
          </reference>
        </references>
      </pivotArea>
    </chartFormat>
    <chartFormat chart="13" format="24" series="1">
      <pivotArea type="data" outline="0" fieldPosition="0">
        <references count="3">
          <reference field="4294967294" count="1" selected="0">
            <x v="0"/>
          </reference>
          <reference field="10" count="1" selected="0">
            <x v="11"/>
          </reference>
          <reference field="11" count="1" selected="0">
            <x v="1"/>
          </reference>
        </references>
      </pivotArea>
    </chartFormat>
    <chartFormat chart="13" format="25" series="1">
      <pivotArea type="data" outline="0" fieldPosition="0">
        <references count="3">
          <reference field="4294967294" count="1" selected="0">
            <x v="0"/>
          </reference>
          <reference field="10" count="1" selected="0">
            <x v="12"/>
          </reference>
          <reference field="11" count="1" selected="0">
            <x v="0"/>
          </reference>
        </references>
      </pivotArea>
    </chartFormat>
    <chartFormat chart="13" format="26" series="1">
      <pivotArea type="data" outline="0" fieldPosition="0">
        <references count="3">
          <reference field="4294967294" count="1" selected="0">
            <x v="0"/>
          </reference>
          <reference field="10" count="1" selected="0">
            <x v="13"/>
          </reference>
          <reference field="11" count="1" selected="0">
            <x v="3"/>
          </reference>
        </references>
      </pivotArea>
    </chartFormat>
    <chartFormat chart="13" format="27" series="1">
      <pivotArea type="data" outline="0" fieldPosition="0">
        <references count="3">
          <reference field="4294967294" count="1" selected="0">
            <x v="0"/>
          </reference>
          <reference field="10"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AD59E9-DF10-483B-8287-ACD531826E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h="1" x="4"/>
        <item h="1" x="3"/>
        <item x="1"/>
        <item h="1" x="0"/>
        <item h="1" x="2"/>
        <item t="default"/>
      </items>
    </pivotField>
    <pivotField showAll="0"/>
    <pivotField showAll="0"/>
    <pivotField dataField="1" showAll="0"/>
  </pivotFields>
  <rowFields count="1">
    <field x="12"/>
  </rowFields>
  <rowItems count="2">
    <i>
      <x v="2"/>
    </i>
    <i t="grand">
      <x/>
    </i>
  </rowItems>
  <colItems count="1">
    <i/>
  </colItems>
  <dataFields count="1">
    <dataField name="Sum of Sales" fld="15"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1F7707D-BBB8-4916-A4DB-06E3C6099C55}" sourceName="Region">
  <pivotTables>
    <pivotTable tabId="10" name="PivotTable5"/>
  </pivotTables>
  <data>
    <tabular pivotCacheId="684517066">
      <items count="5">
        <i x="4" s="1"/>
        <i x="3" s="1"/>
        <i x="1" s="1"/>
        <i x="2" s="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DB1AA2-9EFC-4A71-AB7B-30F2ADAA3240}"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F25D19-6DD7-4E1B-9745-3B517253C46F}" name="Table1" displayName="Table1" ref="A1:P62" totalsRowShown="0" headerRowDxfId="19" dataDxfId="18">
  <autoFilter ref="A1:P62" xr:uid="{B7F25D19-6DD7-4E1B-9745-3B517253C46F}"/>
  <sortState xmlns:xlrd2="http://schemas.microsoft.com/office/spreadsheetml/2017/richdata2" ref="A2:P62">
    <sortCondition sortBy="cellColor" ref="A1:A62" dxfId="17"/>
  </sortState>
  <tableColumns count="16">
    <tableColumn id="1" xr3:uid="{973CF20F-D4EE-44C6-80D7-E5B791D5C69C}" name="Order ID" dataDxfId="16"/>
    <tableColumn id="2" xr3:uid="{E7139030-438D-4852-9122-88AEF01D0DA5}" name="Order Date" dataDxfId="15" dataCellStyle="Currency"/>
    <tableColumn id="3" xr3:uid="{7491A7C2-B9A3-437E-97AE-63BB7A8C585A}" name="Customer ID" dataDxfId="14"/>
    <tableColumn id="4" xr3:uid="{1135B5AA-CFDF-4CD9-AB45-650FA436D6EB}" name="Customer Name" dataDxfId="13"/>
    <tableColumn id="5" xr3:uid="{DF367EEF-2C29-4C6B-A4AD-67B26830635A}" name="Gender" dataDxfId="12"/>
    <tableColumn id="6" xr3:uid="{228C5CFF-13E7-4503-BF25-E9C0C5607DB0}" name="age" dataDxfId="11"/>
    <tableColumn id="7" xr3:uid="{EA28D63A-A22A-41B3-A380-8B6819935E4A}" name="city" dataDxfId="10"/>
    <tableColumn id="8" xr3:uid="{EF0455A1-6EA8-4BC5-B9A0-17B6958C328E}" name="state" dataDxfId="9"/>
    <tableColumn id="9" xr3:uid="{C6FEE89F-B968-4431-9B53-20B861ED2696}" name="county" dataDxfId="8"/>
    <tableColumn id="10" xr3:uid="{28BF0791-422C-45EF-A688-C1ED2B409AED}" name="product ID" dataDxfId="7"/>
    <tableColumn id="11" xr3:uid="{E75A67E1-FC7B-4C5B-B0CE-A834F8E1BA04}" name="Product" dataDxfId="6"/>
    <tableColumn id="12" xr3:uid="{AF33EB8B-F4B9-4271-9755-0FEC869209C8}" name="Category" dataDxfId="5"/>
    <tableColumn id="13" xr3:uid="{09A205A0-D24E-450D-AFCC-642BD733C97E}" name="Region" dataDxfId="4"/>
    <tableColumn id="14" xr3:uid="{EE191BB6-069D-4C77-BDB2-BF43B4DD3BB0}" name="Quantity" dataDxfId="3"/>
    <tableColumn id="15" xr3:uid="{23E43A12-4375-4A62-915E-27FDF163A7A0}" name="UNIT PRICE" dataDxfId="2" dataCellStyle="Comma"/>
    <tableColumn id="16" xr3:uid="{43BCFEC8-5C92-48C3-B112-3E04BDA5A23E}" name="Sales" dataDxfId="1" dataCellStyle="Comm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79275-8432-4172-AC3F-51F464763555}">
  <dimension ref="A1:P62"/>
  <sheetViews>
    <sheetView zoomScale="93" zoomScaleNormal="93" workbookViewId="0">
      <pane ySplit="1" topLeftCell="A2" activePane="bottomLeft" state="frozen"/>
      <selection pane="bottomLeft" activeCell="L7" sqref="L7"/>
    </sheetView>
  </sheetViews>
  <sheetFormatPr defaultRowHeight="15"/>
  <cols>
    <col min="1" max="1" width="11.140625" customWidth="1"/>
    <col min="2" max="2" width="15.140625" style="22" customWidth="1"/>
    <col min="3" max="3" width="12.28515625" customWidth="1"/>
    <col min="4" max="4" width="14.42578125" customWidth="1"/>
    <col min="5" max="7" width="11.140625" customWidth="1"/>
    <col min="8" max="8" width="14" customWidth="1"/>
    <col min="9" max="9" width="11.140625" customWidth="1"/>
    <col min="10" max="14" width="12.28515625" customWidth="1"/>
    <col min="15" max="15" width="18.5703125" style="18" customWidth="1"/>
    <col min="16" max="16" width="16.140625" style="18" customWidth="1"/>
  </cols>
  <sheetData>
    <row r="1" spans="1:16" ht="30">
      <c r="A1" s="13" t="s">
        <v>0</v>
      </c>
      <c r="B1" s="19" t="s">
        <v>1</v>
      </c>
      <c r="C1" s="13" t="s">
        <v>2</v>
      </c>
      <c r="D1" s="13" t="s">
        <v>3</v>
      </c>
      <c r="E1" s="13" t="s">
        <v>4</v>
      </c>
      <c r="F1" s="13" t="s">
        <v>251</v>
      </c>
      <c r="G1" s="13" t="s">
        <v>252</v>
      </c>
      <c r="H1" s="13" t="s">
        <v>253</v>
      </c>
      <c r="I1" s="13" t="s">
        <v>254</v>
      </c>
      <c r="J1" s="13" t="s">
        <v>255</v>
      </c>
      <c r="K1" s="14" t="s">
        <v>182</v>
      </c>
      <c r="L1" s="14" t="s">
        <v>229</v>
      </c>
      <c r="M1" s="14" t="s">
        <v>230</v>
      </c>
      <c r="N1" s="14" t="s">
        <v>231</v>
      </c>
      <c r="O1" s="15" t="s">
        <v>256</v>
      </c>
      <c r="P1" s="15" t="s">
        <v>232</v>
      </c>
    </row>
    <row r="3" spans="1:16">
      <c r="A3" s="8" t="s">
        <v>5</v>
      </c>
      <c r="B3" s="20">
        <v>46027</v>
      </c>
      <c r="C3" s="8" t="s">
        <v>6</v>
      </c>
      <c r="D3" s="8" t="s">
        <v>7</v>
      </c>
      <c r="E3" s="8" t="s">
        <v>8</v>
      </c>
      <c r="F3" s="8">
        <v>28</v>
      </c>
      <c r="G3" s="8" t="s">
        <v>9</v>
      </c>
      <c r="H3" s="8" t="s">
        <v>10</v>
      </c>
      <c r="I3" s="8" t="s">
        <v>11</v>
      </c>
      <c r="J3" s="8" t="s">
        <v>12</v>
      </c>
      <c r="K3" s="9" t="s">
        <v>245</v>
      </c>
      <c r="L3" s="9" t="s">
        <v>246</v>
      </c>
      <c r="M3" s="9" t="s">
        <v>247</v>
      </c>
      <c r="N3" s="10">
        <v>5</v>
      </c>
      <c r="O3" s="16">
        <v>78000</v>
      </c>
      <c r="P3" s="16">
        <v>100000</v>
      </c>
    </row>
    <row r="4" spans="1:16">
      <c r="A4" s="8" t="s">
        <v>13</v>
      </c>
      <c r="B4" s="20">
        <v>46029</v>
      </c>
      <c r="C4" s="8" t="s">
        <v>14</v>
      </c>
      <c r="D4" s="8" t="s">
        <v>15</v>
      </c>
      <c r="E4" s="8" t="s">
        <v>16</v>
      </c>
      <c r="F4" s="8">
        <v>25</v>
      </c>
      <c r="G4" s="8" t="s">
        <v>17</v>
      </c>
      <c r="H4" s="8" t="s">
        <v>18</v>
      </c>
      <c r="I4" s="8" t="s">
        <v>11</v>
      </c>
      <c r="J4" s="8" t="s">
        <v>19</v>
      </c>
      <c r="K4" s="11" t="s">
        <v>233</v>
      </c>
      <c r="L4" s="11" t="s">
        <v>223</v>
      </c>
      <c r="M4" s="11" t="s">
        <v>224</v>
      </c>
      <c r="N4" s="12">
        <v>2</v>
      </c>
      <c r="O4" s="17">
        <v>45000</v>
      </c>
      <c r="P4" s="17">
        <v>90000</v>
      </c>
    </row>
    <row r="5" spans="1:16">
      <c r="A5" s="8" t="s">
        <v>20</v>
      </c>
      <c r="B5" s="20">
        <v>46032</v>
      </c>
      <c r="C5" s="8" t="s">
        <v>21</v>
      </c>
      <c r="D5" s="8" t="s">
        <v>22</v>
      </c>
      <c r="E5" s="8" t="s">
        <v>8</v>
      </c>
      <c r="F5" s="8">
        <v>32</v>
      </c>
      <c r="G5" s="8" t="s">
        <v>23</v>
      </c>
      <c r="H5" s="8" t="s">
        <v>10</v>
      </c>
      <c r="I5" s="8" t="s">
        <v>11</v>
      </c>
      <c r="J5" s="8" t="s">
        <v>24</v>
      </c>
      <c r="K5" s="11" t="s">
        <v>234</v>
      </c>
      <c r="L5" s="11" t="s">
        <v>223</v>
      </c>
      <c r="M5" s="11" t="s">
        <v>225</v>
      </c>
      <c r="N5" s="12">
        <v>1</v>
      </c>
      <c r="O5" s="17">
        <v>35000</v>
      </c>
      <c r="P5" s="17">
        <v>35000</v>
      </c>
    </row>
    <row r="6" spans="1:16">
      <c r="A6" s="8" t="s">
        <v>25</v>
      </c>
      <c r="B6" s="20">
        <v>46034</v>
      </c>
      <c r="C6" s="8" t="s">
        <v>26</v>
      </c>
      <c r="D6" s="8" t="s">
        <v>27</v>
      </c>
      <c r="E6" s="8" t="s">
        <v>16</v>
      </c>
      <c r="F6" s="8">
        <v>27</v>
      </c>
      <c r="G6" s="8" t="s">
        <v>28</v>
      </c>
      <c r="H6" s="8" t="s">
        <v>10</v>
      </c>
      <c r="I6" s="8" t="s">
        <v>11</v>
      </c>
      <c r="J6" s="8" t="s">
        <v>29</v>
      </c>
      <c r="K6" s="11" t="s">
        <v>235</v>
      </c>
      <c r="L6" s="11" t="s">
        <v>226</v>
      </c>
      <c r="M6" s="11" t="s">
        <v>224</v>
      </c>
      <c r="N6" s="12">
        <v>3</v>
      </c>
      <c r="O6" s="17">
        <v>5000</v>
      </c>
      <c r="P6" s="17">
        <v>15000</v>
      </c>
    </row>
    <row r="7" spans="1:16">
      <c r="A7" s="8" t="s">
        <v>30</v>
      </c>
      <c r="B7" s="20">
        <v>46037</v>
      </c>
      <c r="C7" s="8" t="s">
        <v>31</v>
      </c>
      <c r="D7" s="8" t="s">
        <v>32</v>
      </c>
      <c r="E7" s="8" t="s">
        <v>8</v>
      </c>
      <c r="F7" s="8">
        <v>30</v>
      </c>
      <c r="G7" s="8" t="s">
        <v>33</v>
      </c>
      <c r="H7" s="8" t="s">
        <v>34</v>
      </c>
      <c r="I7" s="8" t="s">
        <v>11</v>
      </c>
      <c r="J7" s="8" t="s">
        <v>35</v>
      </c>
      <c r="K7" s="11" t="s">
        <v>236</v>
      </c>
      <c r="L7" s="11" t="s">
        <v>226</v>
      </c>
      <c r="M7" s="11" t="s">
        <v>227</v>
      </c>
      <c r="N7" s="12">
        <v>2</v>
      </c>
      <c r="O7" s="17">
        <v>8000</v>
      </c>
      <c r="P7" s="17">
        <v>16000</v>
      </c>
    </row>
    <row r="8" spans="1:16" ht="30">
      <c r="A8" s="8" t="s">
        <v>36</v>
      </c>
      <c r="B8" s="20">
        <v>46040</v>
      </c>
      <c r="C8" s="8" t="s">
        <v>37</v>
      </c>
      <c r="D8" s="8" t="s">
        <v>38</v>
      </c>
      <c r="E8" s="8" t="s">
        <v>16</v>
      </c>
      <c r="F8" s="8">
        <v>24</v>
      </c>
      <c r="G8" s="8" t="s">
        <v>9</v>
      </c>
      <c r="H8" s="8" t="s">
        <v>10</v>
      </c>
      <c r="I8" s="8" t="s">
        <v>11</v>
      </c>
      <c r="J8" s="8" t="s">
        <v>39</v>
      </c>
      <c r="K8" s="11" t="s">
        <v>237</v>
      </c>
      <c r="L8" s="11" t="s">
        <v>223</v>
      </c>
      <c r="M8" s="11" t="s">
        <v>228</v>
      </c>
      <c r="N8" s="12">
        <v>4</v>
      </c>
      <c r="O8" s="17">
        <v>2500</v>
      </c>
      <c r="P8" s="17">
        <v>10000</v>
      </c>
    </row>
    <row r="9" spans="1:16">
      <c r="A9" s="8" t="s">
        <v>40</v>
      </c>
      <c r="B9" s="20">
        <v>46043</v>
      </c>
      <c r="C9" s="8" t="s">
        <v>41</v>
      </c>
      <c r="D9" s="8" t="s">
        <v>42</v>
      </c>
      <c r="E9" s="8" t="s">
        <v>8</v>
      </c>
      <c r="F9" s="8">
        <v>35</v>
      </c>
      <c r="G9" s="8" t="s">
        <v>43</v>
      </c>
      <c r="H9" s="8" t="s">
        <v>44</v>
      </c>
      <c r="I9" s="8" t="s">
        <v>11</v>
      </c>
      <c r="J9" s="8" t="s">
        <v>45</v>
      </c>
      <c r="K9" s="11" t="s">
        <v>238</v>
      </c>
      <c r="L9" s="11" t="s">
        <v>223</v>
      </c>
      <c r="M9" s="11" t="s">
        <v>224</v>
      </c>
      <c r="N9" s="12">
        <v>1</v>
      </c>
      <c r="O9" s="17">
        <v>12000</v>
      </c>
      <c r="P9" s="17">
        <v>12000</v>
      </c>
    </row>
    <row r="10" spans="1:16">
      <c r="A10" s="8" t="s">
        <v>46</v>
      </c>
      <c r="B10" s="20">
        <v>46046</v>
      </c>
      <c r="C10" s="8" t="s">
        <v>47</v>
      </c>
      <c r="D10" s="8" t="s">
        <v>48</v>
      </c>
      <c r="E10" s="8" t="s">
        <v>16</v>
      </c>
      <c r="F10" s="8">
        <v>29</v>
      </c>
      <c r="G10" s="8" t="s">
        <v>49</v>
      </c>
      <c r="H10" s="8" t="s">
        <v>44</v>
      </c>
      <c r="I10" s="8" t="s">
        <v>11</v>
      </c>
      <c r="J10" s="8" t="s">
        <v>50</v>
      </c>
      <c r="K10" s="11" t="s">
        <v>239</v>
      </c>
      <c r="L10" s="11" t="s">
        <v>223</v>
      </c>
      <c r="M10" s="11" t="s">
        <v>225</v>
      </c>
      <c r="N10" s="12">
        <v>5</v>
      </c>
      <c r="O10" s="17">
        <v>1500</v>
      </c>
      <c r="P10" s="17">
        <v>7500</v>
      </c>
    </row>
    <row r="11" spans="1:16">
      <c r="A11" s="8" t="s">
        <v>51</v>
      </c>
      <c r="B11" s="20">
        <v>46049</v>
      </c>
      <c r="C11" s="8" t="s">
        <v>52</v>
      </c>
      <c r="D11" s="8" t="s">
        <v>53</v>
      </c>
      <c r="E11" s="8" t="s">
        <v>8</v>
      </c>
      <c r="F11" s="8">
        <v>31</v>
      </c>
      <c r="G11" s="8" t="s">
        <v>54</v>
      </c>
      <c r="H11" s="8" t="s">
        <v>54</v>
      </c>
      <c r="I11" s="8" t="s">
        <v>11</v>
      </c>
      <c r="J11" s="8" t="s">
        <v>55</v>
      </c>
      <c r="K11" s="11" t="s">
        <v>240</v>
      </c>
      <c r="L11" s="11" t="s">
        <v>223</v>
      </c>
      <c r="M11" s="11" t="s">
        <v>227</v>
      </c>
      <c r="N11" s="12">
        <v>2</v>
      </c>
      <c r="O11" s="17">
        <v>18000</v>
      </c>
      <c r="P11" s="17">
        <v>36000</v>
      </c>
    </row>
    <row r="12" spans="1:16">
      <c r="A12" s="8" t="s">
        <v>56</v>
      </c>
      <c r="B12" s="20">
        <v>46052</v>
      </c>
      <c r="C12" s="8" t="s">
        <v>57</v>
      </c>
      <c r="D12" s="8" t="s">
        <v>58</v>
      </c>
      <c r="E12" s="8" t="s">
        <v>16</v>
      </c>
      <c r="F12" s="8">
        <v>26</v>
      </c>
      <c r="G12" s="8" t="s">
        <v>59</v>
      </c>
      <c r="H12" s="8" t="s">
        <v>60</v>
      </c>
      <c r="I12" s="8" t="s">
        <v>11</v>
      </c>
      <c r="J12" s="8" t="s">
        <v>61</v>
      </c>
      <c r="K12" s="11" t="s">
        <v>241</v>
      </c>
      <c r="L12" s="11" t="s">
        <v>226</v>
      </c>
      <c r="M12" s="11" t="s">
        <v>224</v>
      </c>
      <c r="N12" s="12">
        <v>1</v>
      </c>
      <c r="O12" s="17">
        <v>7000</v>
      </c>
      <c r="P12" s="17">
        <v>7000</v>
      </c>
    </row>
    <row r="13" spans="1:16">
      <c r="A13" s="8" t="s">
        <v>62</v>
      </c>
      <c r="B13" s="20">
        <v>46056</v>
      </c>
      <c r="C13" s="8" t="s">
        <v>63</v>
      </c>
      <c r="D13" s="8" t="s">
        <v>64</v>
      </c>
      <c r="E13" s="8" t="s">
        <v>8</v>
      </c>
      <c r="F13" s="8">
        <v>29</v>
      </c>
      <c r="G13" s="8" t="s">
        <v>9</v>
      </c>
      <c r="H13" s="8" t="s">
        <v>10</v>
      </c>
      <c r="I13" s="8" t="s">
        <v>11</v>
      </c>
      <c r="J13" s="8" t="s">
        <v>65</v>
      </c>
      <c r="K13" s="11" t="s">
        <v>242</v>
      </c>
      <c r="L13" s="11" t="s">
        <v>223</v>
      </c>
      <c r="M13" s="11" t="s">
        <v>228</v>
      </c>
      <c r="N13" s="12">
        <v>3</v>
      </c>
      <c r="O13" s="17">
        <v>1000</v>
      </c>
      <c r="P13" s="17">
        <v>3000</v>
      </c>
    </row>
    <row r="14" spans="1:16">
      <c r="A14" s="8" t="s">
        <v>66</v>
      </c>
      <c r="B14" s="20">
        <v>46059</v>
      </c>
      <c r="C14" s="8" t="s">
        <v>67</v>
      </c>
      <c r="D14" s="8" t="s">
        <v>68</v>
      </c>
      <c r="E14" s="8" t="s">
        <v>16</v>
      </c>
      <c r="F14" s="8">
        <v>23</v>
      </c>
      <c r="G14" s="8" t="s">
        <v>17</v>
      </c>
      <c r="H14" s="8" t="s">
        <v>18</v>
      </c>
      <c r="I14" s="8" t="s">
        <v>11</v>
      </c>
      <c r="J14" s="8" t="s">
        <v>69</v>
      </c>
      <c r="K14" s="11" t="s">
        <v>243</v>
      </c>
      <c r="L14" s="11" t="s">
        <v>223</v>
      </c>
      <c r="M14" s="11" t="s">
        <v>225</v>
      </c>
      <c r="N14" s="12">
        <v>2</v>
      </c>
      <c r="O14" s="17">
        <v>25000</v>
      </c>
      <c r="P14" s="17">
        <v>50000</v>
      </c>
    </row>
    <row r="15" spans="1:16">
      <c r="A15" s="8" t="s">
        <v>70</v>
      </c>
      <c r="B15" s="20">
        <v>46062</v>
      </c>
      <c r="C15" s="8" t="s">
        <v>71</v>
      </c>
      <c r="D15" s="8" t="s">
        <v>72</v>
      </c>
      <c r="E15" s="8" t="s">
        <v>8</v>
      </c>
      <c r="F15" s="8">
        <v>34</v>
      </c>
      <c r="G15" s="8" t="s">
        <v>23</v>
      </c>
      <c r="H15" s="8" t="s">
        <v>10</v>
      </c>
      <c r="I15" s="8" t="s">
        <v>11</v>
      </c>
      <c r="J15" s="8" t="s">
        <v>73</v>
      </c>
      <c r="K15" s="11" t="s">
        <v>244</v>
      </c>
      <c r="L15" s="11" t="s">
        <v>223</v>
      </c>
      <c r="M15" s="11" t="s">
        <v>224</v>
      </c>
      <c r="N15" s="12">
        <v>1</v>
      </c>
      <c r="O15" s="17">
        <v>3000</v>
      </c>
      <c r="P15" s="17">
        <v>3000</v>
      </c>
    </row>
    <row r="16" spans="1:16">
      <c r="A16" s="8" t="s">
        <v>74</v>
      </c>
      <c r="B16" s="20">
        <v>46065</v>
      </c>
      <c r="C16" s="8" t="s">
        <v>75</v>
      </c>
      <c r="D16" s="8" t="s">
        <v>76</v>
      </c>
      <c r="E16" s="8" t="s">
        <v>16</v>
      </c>
      <c r="F16" s="8">
        <v>28</v>
      </c>
      <c r="G16" s="8" t="s">
        <v>28</v>
      </c>
      <c r="H16" s="8" t="s">
        <v>10</v>
      </c>
      <c r="I16" s="8" t="s">
        <v>11</v>
      </c>
      <c r="J16" s="8" t="s">
        <v>77</v>
      </c>
      <c r="K16" s="11" t="s">
        <v>234</v>
      </c>
      <c r="L16" s="11" t="s">
        <v>223</v>
      </c>
      <c r="M16" s="11" t="s">
        <v>227</v>
      </c>
      <c r="N16" s="12">
        <v>2</v>
      </c>
      <c r="O16" s="17">
        <v>35000</v>
      </c>
      <c r="P16" s="17">
        <v>70000</v>
      </c>
    </row>
    <row r="17" spans="1:16">
      <c r="A17" s="8" t="s">
        <v>78</v>
      </c>
      <c r="B17" s="20">
        <v>46068</v>
      </c>
      <c r="C17" s="8" t="s">
        <v>79</v>
      </c>
      <c r="D17" s="8" t="s">
        <v>80</v>
      </c>
      <c r="E17" s="8" t="s">
        <v>8</v>
      </c>
      <c r="F17" s="8">
        <v>33</v>
      </c>
      <c r="G17" s="8" t="s">
        <v>33</v>
      </c>
      <c r="H17" s="8" t="s">
        <v>34</v>
      </c>
      <c r="I17" s="8" t="s">
        <v>11</v>
      </c>
      <c r="J17" s="8" t="s">
        <v>81</v>
      </c>
      <c r="K17" s="11" t="s">
        <v>233</v>
      </c>
      <c r="L17" s="11" t="s">
        <v>226</v>
      </c>
      <c r="M17" s="11" t="s">
        <v>228</v>
      </c>
      <c r="N17" s="12">
        <v>3</v>
      </c>
      <c r="O17" s="17">
        <v>5000</v>
      </c>
      <c r="P17" s="17">
        <v>15000</v>
      </c>
    </row>
    <row r="18" spans="1:16">
      <c r="A18" s="8" t="s">
        <v>82</v>
      </c>
      <c r="B18" s="20">
        <v>46071</v>
      </c>
      <c r="C18" s="8" t="s">
        <v>83</v>
      </c>
      <c r="D18" s="8" t="s">
        <v>84</v>
      </c>
      <c r="E18" s="8" t="s">
        <v>16</v>
      </c>
      <c r="F18" s="8">
        <v>26</v>
      </c>
      <c r="G18" s="8" t="s">
        <v>9</v>
      </c>
      <c r="H18" s="8" t="s">
        <v>10</v>
      </c>
      <c r="I18" s="8" t="s">
        <v>11</v>
      </c>
      <c r="J18" s="8" t="s">
        <v>85</v>
      </c>
      <c r="K18" s="11" t="s">
        <v>235</v>
      </c>
      <c r="L18" s="11" t="s">
        <v>223</v>
      </c>
      <c r="M18" s="11" t="s">
        <v>224</v>
      </c>
      <c r="N18" s="12">
        <v>2</v>
      </c>
      <c r="O18" s="17">
        <v>12000</v>
      </c>
      <c r="P18" s="17">
        <v>24000</v>
      </c>
    </row>
    <row r="19" spans="1:16">
      <c r="A19" s="8" t="s">
        <v>86</v>
      </c>
      <c r="B19" s="20">
        <v>46074</v>
      </c>
      <c r="C19" s="8" t="s">
        <v>87</v>
      </c>
      <c r="D19" s="8" t="s">
        <v>88</v>
      </c>
      <c r="E19" s="8" t="s">
        <v>8</v>
      </c>
      <c r="F19" s="8">
        <v>30</v>
      </c>
      <c r="G19" s="8" t="s">
        <v>43</v>
      </c>
      <c r="H19" s="8" t="s">
        <v>44</v>
      </c>
      <c r="I19" s="8" t="s">
        <v>11</v>
      </c>
      <c r="J19" s="8" t="s">
        <v>89</v>
      </c>
      <c r="K19" s="11" t="s">
        <v>238</v>
      </c>
      <c r="L19" s="11" t="s">
        <v>223</v>
      </c>
      <c r="M19" s="11" t="s">
        <v>225</v>
      </c>
      <c r="N19" s="12">
        <v>1</v>
      </c>
      <c r="O19" s="17">
        <v>18000</v>
      </c>
      <c r="P19" s="17">
        <v>18000</v>
      </c>
    </row>
    <row r="20" spans="1:16">
      <c r="A20" s="8" t="s">
        <v>90</v>
      </c>
      <c r="B20" s="20">
        <v>46077</v>
      </c>
      <c r="C20" s="8" t="s">
        <v>91</v>
      </c>
      <c r="D20" s="8" t="s">
        <v>92</v>
      </c>
      <c r="E20" s="8" t="s">
        <v>16</v>
      </c>
      <c r="F20" s="8">
        <v>25</v>
      </c>
      <c r="G20" s="8" t="s">
        <v>49</v>
      </c>
      <c r="H20" s="8" t="s">
        <v>44</v>
      </c>
      <c r="I20" s="8" t="s">
        <v>11</v>
      </c>
      <c r="J20" s="8" t="s">
        <v>93</v>
      </c>
      <c r="K20" s="11" t="s">
        <v>240</v>
      </c>
      <c r="L20" s="11" t="s">
        <v>223</v>
      </c>
      <c r="M20" s="11" t="s">
        <v>227</v>
      </c>
      <c r="N20" s="12">
        <v>4</v>
      </c>
      <c r="O20" s="17">
        <v>2500</v>
      </c>
      <c r="P20" s="17">
        <v>10000</v>
      </c>
    </row>
    <row r="21" spans="1:16">
      <c r="A21" s="8" t="s">
        <v>94</v>
      </c>
      <c r="B21" s="20">
        <v>46080</v>
      </c>
      <c r="C21" s="8" t="s">
        <v>95</v>
      </c>
      <c r="D21" s="8" t="s">
        <v>96</v>
      </c>
      <c r="E21" s="8" t="s">
        <v>8</v>
      </c>
      <c r="F21" s="8">
        <v>36</v>
      </c>
      <c r="G21" s="8" t="s">
        <v>54</v>
      </c>
      <c r="H21" s="8" t="s">
        <v>54</v>
      </c>
      <c r="I21" s="8" t="s">
        <v>11</v>
      </c>
      <c r="J21" s="8" t="s">
        <v>97</v>
      </c>
      <c r="K21" s="11" t="s">
        <v>239</v>
      </c>
      <c r="L21" s="11" t="s">
        <v>226</v>
      </c>
      <c r="M21" s="11" t="s">
        <v>224</v>
      </c>
      <c r="N21" s="12">
        <v>2</v>
      </c>
      <c r="O21" s="17">
        <v>7000</v>
      </c>
      <c r="P21" s="17">
        <v>14000</v>
      </c>
    </row>
    <row r="22" spans="1:16">
      <c r="A22" s="8" t="s">
        <v>98</v>
      </c>
      <c r="B22" s="20">
        <v>46081</v>
      </c>
      <c r="C22" s="8" t="s">
        <v>99</v>
      </c>
      <c r="D22" s="8" t="s">
        <v>100</v>
      </c>
      <c r="E22" s="8" t="s">
        <v>16</v>
      </c>
      <c r="F22" s="8">
        <v>27</v>
      </c>
      <c r="G22" s="8" t="s">
        <v>59</v>
      </c>
      <c r="H22" s="8" t="s">
        <v>60</v>
      </c>
      <c r="I22" s="8" t="s">
        <v>11</v>
      </c>
      <c r="J22" s="8" t="s">
        <v>101</v>
      </c>
      <c r="K22" s="11" t="s">
        <v>242</v>
      </c>
      <c r="L22" s="11" t="s">
        <v>223</v>
      </c>
      <c r="M22" s="11" t="s">
        <v>228</v>
      </c>
      <c r="N22" s="12">
        <v>3</v>
      </c>
      <c r="O22" s="17">
        <v>1000</v>
      </c>
      <c r="P22" s="17">
        <v>3000</v>
      </c>
    </row>
    <row r="23" spans="1:16">
      <c r="A23" s="8" t="s">
        <v>102</v>
      </c>
      <c r="B23" s="20">
        <v>46084</v>
      </c>
      <c r="C23" s="8" t="s">
        <v>103</v>
      </c>
      <c r="D23" s="8" t="s">
        <v>104</v>
      </c>
      <c r="E23" s="8" t="s">
        <v>8</v>
      </c>
      <c r="F23" s="8">
        <v>29</v>
      </c>
      <c r="G23" s="8" t="s">
        <v>9</v>
      </c>
      <c r="H23" s="8" t="s">
        <v>10</v>
      </c>
      <c r="I23" s="8" t="s">
        <v>11</v>
      </c>
      <c r="J23" s="8" t="s">
        <v>183</v>
      </c>
      <c r="K23" s="11" t="s">
        <v>236</v>
      </c>
      <c r="L23" s="11" t="s">
        <v>226</v>
      </c>
      <c r="M23" s="11" t="s">
        <v>225</v>
      </c>
      <c r="N23" s="12">
        <v>1</v>
      </c>
      <c r="O23" s="17">
        <v>8000</v>
      </c>
      <c r="P23" s="17">
        <v>8000</v>
      </c>
    </row>
    <row r="24" spans="1:16" ht="30">
      <c r="A24" s="8" t="s">
        <v>105</v>
      </c>
      <c r="B24" s="20">
        <v>46087</v>
      </c>
      <c r="C24" s="8" t="s">
        <v>106</v>
      </c>
      <c r="D24" s="8" t="s">
        <v>107</v>
      </c>
      <c r="E24" s="8" t="s">
        <v>16</v>
      </c>
      <c r="F24" s="8">
        <v>24</v>
      </c>
      <c r="G24" s="8" t="s">
        <v>17</v>
      </c>
      <c r="H24" s="8" t="s">
        <v>18</v>
      </c>
      <c r="I24" s="8" t="s">
        <v>11</v>
      </c>
      <c r="J24" s="8" t="s">
        <v>184</v>
      </c>
      <c r="K24" s="11" t="s">
        <v>237</v>
      </c>
      <c r="L24" s="11" t="s">
        <v>223</v>
      </c>
      <c r="M24" s="11" t="s">
        <v>224</v>
      </c>
      <c r="N24" s="12">
        <v>2</v>
      </c>
      <c r="O24" s="17">
        <v>1500</v>
      </c>
      <c r="P24" s="17">
        <v>3000</v>
      </c>
    </row>
    <row r="25" spans="1:16">
      <c r="A25" s="8" t="s">
        <v>108</v>
      </c>
      <c r="B25" s="20">
        <v>46090</v>
      </c>
      <c r="C25" s="8" t="s">
        <v>109</v>
      </c>
      <c r="D25" s="8" t="s">
        <v>110</v>
      </c>
      <c r="E25" s="8" t="s">
        <v>8</v>
      </c>
      <c r="F25" s="8">
        <v>31</v>
      </c>
      <c r="G25" s="8" t="s">
        <v>23</v>
      </c>
      <c r="H25" s="8" t="s">
        <v>10</v>
      </c>
      <c r="I25" s="8" t="s">
        <v>11</v>
      </c>
      <c r="J25" s="8" t="s">
        <v>185</v>
      </c>
      <c r="K25" s="11" t="s">
        <v>243</v>
      </c>
      <c r="L25" s="11" t="s">
        <v>223</v>
      </c>
      <c r="M25" s="11" t="s">
        <v>227</v>
      </c>
      <c r="N25" s="12">
        <v>1</v>
      </c>
      <c r="O25" s="17">
        <v>25000</v>
      </c>
      <c r="P25" s="17">
        <v>25000</v>
      </c>
    </row>
    <row r="26" spans="1:16">
      <c r="A26" s="8" t="s">
        <v>111</v>
      </c>
      <c r="B26" s="20">
        <v>46093</v>
      </c>
      <c r="C26" s="8" t="s">
        <v>112</v>
      </c>
      <c r="D26" s="8" t="s">
        <v>113</v>
      </c>
      <c r="E26" s="8" t="s">
        <v>16</v>
      </c>
      <c r="F26" s="8">
        <v>26</v>
      </c>
      <c r="G26" s="8" t="s">
        <v>28</v>
      </c>
      <c r="H26" s="8" t="s">
        <v>10</v>
      </c>
      <c r="I26" s="8" t="s">
        <v>11</v>
      </c>
      <c r="J26" s="8" t="s">
        <v>186</v>
      </c>
      <c r="K26" s="11" t="s">
        <v>244</v>
      </c>
      <c r="L26" s="11" t="s">
        <v>223</v>
      </c>
      <c r="M26" s="11" t="s">
        <v>228</v>
      </c>
      <c r="N26" s="12">
        <v>2</v>
      </c>
      <c r="O26" s="17">
        <v>45000</v>
      </c>
      <c r="P26" s="17">
        <v>90000</v>
      </c>
    </row>
    <row r="27" spans="1:16">
      <c r="A27" s="8" t="s">
        <v>114</v>
      </c>
      <c r="B27" s="20">
        <v>46096</v>
      </c>
      <c r="C27" s="8" t="s">
        <v>115</v>
      </c>
      <c r="D27" s="8" t="s">
        <v>116</v>
      </c>
      <c r="E27" s="8" t="s">
        <v>8</v>
      </c>
      <c r="F27" s="8">
        <v>38</v>
      </c>
      <c r="G27" s="8" t="s">
        <v>33</v>
      </c>
      <c r="H27" s="8" t="s">
        <v>34</v>
      </c>
      <c r="I27" s="8" t="s">
        <v>11</v>
      </c>
      <c r="J27" s="8" t="s">
        <v>187</v>
      </c>
      <c r="K27" s="11" t="s">
        <v>233</v>
      </c>
      <c r="L27" s="11" t="s">
        <v>223</v>
      </c>
      <c r="M27" s="11" t="s">
        <v>224</v>
      </c>
      <c r="N27" s="12">
        <v>3</v>
      </c>
      <c r="O27" s="17">
        <v>35000</v>
      </c>
      <c r="P27" s="17">
        <v>105000</v>
      </c>
    </row>
    <row r="28" spans="1:16">
      <c r="A28" s="8" t="s">
        <v>117</v>
      </c>
      <c r="B28" s="20">
        <v>46099</v>
      </c>
      <c r="C28" s="8" t="s">
        <v>118</v>
      </c>
      <c r="D28" s="8" t="s">
        <v>119</v>
      </c>
      <c r="E28" s="8" t="s">
        <v>16</v>
      </c>
      <c r="F28" s="8">
        <v>25</v>
      </c>
      <c r="G28" s="8" t="s">
        <v>9</v>
      </c>
      <c r="H28" s="8" t="s">
        <v>10</v>
      </c>
      <c r="I28" s="8" t="s">
        <v>11</v>
      </c>
      <c r="J28" s="8" t="s">
        <v>188</v>
      </c>
      <c r="K28" s="11" t="s">
        <v>234</v>
      </c>
      <c r="L28" s="11" t="s">
        <v>226</v>
      </c>
      <c r="M28" s="11" t="s">
        <v>225</v>
      </c>
      <c r="N28" s="12">
        <v>2</v>
      </c>
      <c r="O28" s="17">
        <v>5000</v>
      </c>
      <c r="P28" s="17">
        <v>10000</v>
      </c>
    </row>
    <row r="29" spans="1:16">
      <c r="A29" s="8" t="s">
        <v>120</v>
      </c>
      <c r="B29" s="20">
        <v>46102</v>
      </c>
      <c r="C29" s="8" t="s">
        <v>121</v>
      </c>
      <c r="D29" s="8" t="s">
        <v>122</v>
      </c>
      <c r="E29" s="8" t="s">
        <v>8</v>
      </c>
      <c r="F29" s="8">
        <v>32</v>
      </c>
      <c r="G29" s="8" t="s">
        <v>43</v>
      </c>
      <c r="H29" s="8" t="s">
        <v>44</v>
      </c>
      <c r="I29" s="8" t="s">
        <v>11</v>
      </c>
      <c r="J29" s="8" t="s">
        <v>189</v>
      </c>
      <c r="K29" s="11" t="s">
        <v>241</v>
      </c>
      <c r="L29" s="11" t="s">
        <v>223</v>
      </c>
      <c r="M29" s="11" t="s">
        <v>227</v>
      </c>
      <c r="N29" s="12">
        <v>1</v>
      </c>
      <c r="O29" s="17">
        <v>18000</v>
      </c>
      <c r="P29" s="17">
        <v>18000</v>
      </c>
    </row>
    <row r="30" spans="1:16">
      <c r="A30" s="8" t="s">
        <v>123</v>
      </c>
      <c r="B30" s="20">
        <v>46105</v>
      </c>
      <c r="C30" s="8" t="s">
        <v>124</v>
      </c>
      <c r="D30" s="8" t="s">
        <v>125</v>
      </c>
      <c r="E30" s="8" t="s">
        <v>16</v>
      </c>
      <c r="F30" s="8">
        <v>28</v>
      </c>
      <c r="G30" s="8" t="s">
        <v>49</v>
      </c>
      <c r="H30" s="8" t="s">
        <v>44</v>
      </c>
      <c r="I30" s="8" t="s">
        <v>11</v>
      </c>
      <c r="J30" s="8" t="s">
        <v>190</v>
      </c>
      <c r="K30" s="11" t="s">
        <v>240</v>
      </c>
      <c r="L30" s="11" t="s">
        <v>223</v>
      </c>
      <c r="M30" s="11" t="s">
        <v>228</v>
      </c>
      <c r="N30" s="12">
        <v>4</v>
      </c>
      <c r="O30" s="17">
        <v>12000</v>
      </c>
      <c r="P30" s="17">
        <v>48000</v>
      </c>
    </row>
    <row r="31" spans="1:16">
      <c r="A31" s="8" t="s">
        <v>126</v>
      </c>
      <c r="B31" s="20">
        <v>46108</v>
      </c>
      <c r="C31" s="8" t="s">
        <v>127</v>
      </c>
      <c r="D31" s="8" t="s">
        <v>128</v>
      </c>
      <c r="E31" s="8" t="s">
        <v>8</v>
      </c>
      <c r="F31" s="8">
        <v>30</v>
      </c>
      <c r="G31" s="8" t="s">
        <v>54</v>
      </c>
      <c r="H31" s="8" t="s">
        <v>54</v>
      </c>
      <c r="I31" s="8" t="s">
        <v>11</v>
      </c>
      <c r="J31" s="8" t="s">
        <v>191</v>
      </c>
      <c r="K31" s="11" t="s">
        <v>238</v>
      </c>
      <c r="L31" s="11" t="s">
        <v>223</v>
      </c>
      <c r="M31" s="11" t="s">
        <v>224</v>
      </c>
      <c r="N31" s="12">
        <v>2</v>
      </c>
      <c r="O31" s="17">
        <v>2500</v>
      </c>
      <c r="P31" s="17">
        <v>5000</v>
      </c>
    </row>
    <row r="32" spans="1:16">
      <c r="A32" s="8" t="s">
        <v>129</v>
      </c>
      <c r="B32" s="20">
        <v>46111</v>
      </c>
      <c r="C32" s="8" t="s">
        <v>130</v>
      </c>
      <c r="D32" s="8" t="s">
        <v>131</v>
      </c>
      <c r="E32" s="8" t="s">
        <v>16</v>
      </c>
      <c r="F32" s="8">
        <v>27</v>
      </c>
      <c r="G32" s="8" t="s">
        <v>59</v>
      </c>
      <c r="H32" s="8" t="s">
        <v>60</v>
      </c>
      <c r="I32" s="8" t="s">
        <v>11</v>
      </c>
      <c r="J32" s="8" t="s">
        <v>192</v>
      </c>
      <c r="K32" s="11" t="s">
        <v>239</v>
      </c>
      <c r="L32" s="11" t="s">
        <v>226</v>
      </c>
      <c r="M32" s="11" t="s">
        <v>225</v>
      </c>
      <c r="N32" s="12">
        <v>3</v>
      </c>
      <c r="O32" s="17">
        <v>7000</v>
      </c>
      <c r="P32" s="17">
        <v>21000</v>
      </c>
    </row>
    <row r="33" spans="1:16">
      <c r="A33" s="8" t="s">
        <v>132</v>
      </c>
      <c r="B33" s="20">
        <v>46115</v>
      </c>
      <c r="C33" s="8" t="s">
        <v>133</v>
      </c>
      <c r="D33" s="8" t="s">
        <v>134</v>
      </c>
      <c r="E33" s="8" t="s">
        <v>8</v>
      </c>
      <c r="F33" s="8">
        <v>33</v>
      </c>
      <c r="G33" s="8" t="s">
        <v>9</v>
      </c>
      <c r="H33" s="8" t="s">
        <v>10</v>
      </c>
      <c r="I33" s="8" t="s">
        <v>11</v>
      </c>
      <c r="J33" s="8" t="s">
        <v>193</v>
      </c>
      <c r="K33" s="11" t="s">
        <v>242</v>
      </c>
      <c r="L33" s="11" t="s">
        <v>223</v>
      </c>
      <c r="M33" s="11" t="s">
        <v>227</v>
      </c>
      <c r="N33" s="12">
        <v>1</v>
      </c>
      <c r="O33" s="17">
        <v>1000</v>
      </c>
      <c r="P33" s="17">
        <v>1000</v>
      </c>
    </row>
    <row r="34" spans="1:16">
      <c r="A34" s="8" t="s">
        <v>135</v>
      </c>
      <c r="B34" s="20">
        <v>46118</v>
      </c>
      <c r="C34" s="8" t="s">
        <v>136</v>
      </c>
      <c r="D34" s="8" t="s">
        <v>137</v>
      </c>
      <c r="E34" s="8" t="s">
        <v>16</v>
      </c>
      <c r="F34" s="8">
        <v>24</v>
      </c>
      <c r="G34" s="8" t="s">
        <v>17</v>
      </c>
      <c r="H34" s="8" t="s">
        <v>18</v>
      </c>
      <c r="I34" s="8" t="s">
        <v>11</v>
      </c>
      <c r="J34" s="8" t="s">
        <v>194</v>
      </c>
      <c r="K34" s="11" t="s">
        <v>235</v>
      </c>
      <c r="L34" s="11" t="s">
        <v>223</v>
      </c>
      <c r="M34" s="11" t="s">
        <v>228</v>
      </c>
      <c r="N34" s="12">
        <v>2</v>
      </c>
      <c r="O34" s="17">
        <v>25000</v>
      </c>
      <c r="P34" s="17">
        <v>50000</v>
      </c>
    </row>
    <row r="35" spans="1:16">
      <c r="A35" s="8" t="s">
        <v>138</v>
      </c>
      <c r="B35" s="20">
        <v>46121</v>
      </c>
      <c r="C35" s="8" t="s">
        <v>139</v>
      </c>
      <c r="D35" s="8" t="s">
        <v>140</v>
      </c>
      <c r="E35" s="8" t="s">
        <v>8</v>
      </c>
      <c r="F35" s="8">
        <v>29</v>
      </c>
      <c r="G35" s="8" t="s">
        <v>23</v>
      </c>
      <c r="H35" s="8" t="s">
        <v>10</v>
      </c>
      <c r="I35" s="8" t="s">
        <v>11</v>
      </c>
      <c r="J35" s="8" t="s">
        <v>195</v>
      </c>
      <c r="K35" s="11" t="s">
        <v>236</v>
      </c>
      <c r="L35" s="11" t="s">
        <v>223</v>
      </c>
      <c r="M35" s="11" t="s">
        <v>224</v>
      </c>
      <c r="N35" s="12">
        <v>1</v>
      </c>
      <c r="O35" s="17">
        <v>3000</v>
      </c>
      <c r="P35" s="17">
        <v>3000</v>
      </c>
    </row>
    <row r="36" spans="1:16" ht="30">
      <c r="A36" s="8" t="s">
        <v>141</v>
      </c>
      <c r="B36" s="20">
        <v>46124</v>
      </c>
      <c r="C36" s="8" t="s">
        <v>142</v>
      </c>
      <c r="D36" s="8" t="s">
        <v>143</v>
      </c>
      <c r="E36" s="8" t="s">
        <v>16</v>
      </c>
      <c r="F36" s="8">
        <v>26</v>
      </c>
      <c r="G36" s="8" t="s">
        <v>28</v>
      </c>
      <c r="H36" s="8" t="s">
        <v>10</v>
      </c>
      <c r="I36" s="8" t="s">
        <v>11</v>
      </c>
      <c r="J36" s="8" t="s">
        <v>196</v>
      </c>
      <c r="K36" s="11" t="s">
        <v>237</v>
      </c>
      <c r="L36" s="11" t="s">
        <v>226</v>
      </c>
      <c r="M36" s="11" t="s">
        <v>225</v>
      </c>
      <c r="N36" s="12">
        <v>2</v>
      </c>
      <c r="O36" s="17">
        <v>5000</v>
      </c>
      <c r="P36" s="17">
        <v>10000</v>
      </c>
    </row>
    <row r="37" spans="1:16">
      <c r="A37" s="8" t="s">
        <v>144</v>
      </c>
      <c r="B37" s="20">
        <v>46127</v>
      </c>
      <c r="C37" s="8" t="s">
        <v>145</v>
      </c>
      <c r="D37" s="8" t="s">
        <v>146</v>
      </c>
      <c r="E37" s="8" t="s">
        <v>8</v>
      </c>
      <c r="F37" s="8">
        <v>35</v>
      </c>
      <c r="G37" s="8" t="s">
        <v>33</v>
      </c>
      <c r="H37" s="8" t="s">
        <v>34</v>
      </c>
      <c r="I37" s="8" t="s">
        <v>11</v>
      </c>
      <c r="J37" s="8" t="s">
        <v>197</v>
      </c>
      <c r="K37" s="11" t="s">
        <v>243</v>
      </c>
      <c r="L37" s="11" t="s">
        <v>223</v>
      </c>
      <c r="M37" s="11" t="s">
        <v>227</v>
      </c>
      <c r="N37" s="12">
        <v>3</v>
      </c>
      <c r="O37" s="17">
        <v>12000</v>
      </c>
      <c r="P37" s="17">
        <v>36000</v>
      </c>
    </row>
    <row r="38" spans="1:16">
      <c r="A38" s="8" t="s">
        <v>147</v>
      </c>
      <c r="B38" s="20">
        <v>46130</v>
      </c>
      <c r="C38" s="8" t="s">
        <v>148</v>
      </c>
      <c r="D38" s="8" t="s">
        <v>149</v>
      </c>
      <c r="E38" s="8" t="s">
        <v>16</v>
      </c>
      <c r="F38" s="8">
        <v>28</v>
      </c>
      <c r="G38" s="8" t="s">
        <v>9</v>
      </c>
      <c r="H38" s="8" t="s">
        <v>10</v>
      </c>
      <c r="I38" s="8" t="s">
        <v>11</v>
      </c>
      <c r="J38" s="8" t="s">
        <v>198</v>
      </c>
      <c r="K38" s="11" t="s">
        <v>244</v>
      </c>
      <c r="L38" s="11" t="s">
        <v>223</v>
      </c>
      <c r="M38" s="11" t="s">
        <v>228</v>
      </c>
      <c r="N38" s="12">
        <v>1</v>
      </c>
      <c r="O38" s="17">
        <v>18000</v>
      </c>
      <c r="P38" s="17">
        <v>18000</v>
      </c>
    </row>
    <row r="39" spans="1:16">
      <c r="A39" s="8" t="s">
        <v>150</v>
      </c>
      <c r="B39" s="20">
        <v>46133</v>
      </c>
      <c r="C39" s="8" t="s">
        <v>151</v>
      </c>
      <c r="D39" s="8" t="s">
        <v>152</v>
      </c>
      <c r="E39" s="8" t="s">
        <v>8</v>
      </c>
      <c r="F39" s="8">
        <v>31</v>
      </c>
      <c r="G39" s="8" t="s">
        <v>43</v>
      </c>
      <c r="H39" s="8" t="s">
        <v>44</v>
      </c>
      <c r="I39" s="8" t="s">
        <v>11</v>
      </c>
      <c r="J39" s="8" t="s">
        <v>199</v>
      </c>
      <c r="K39" s="11" t="s">
        <v>233</v>
      </c>
      <c r="L39" s="11" t="s">
        <v>223</v>
      </c>
      <c r="M39" s="11" t="s">
        <v>224</v>
      </c>
      <c r="N39" s="12">
        <v>4</v>
      </c>
      <c r="O39" s="17">
        <v>2500</v>
      </c>
      <c r="P39" s="17">
        <v>10000</v>
      </c>
    </row>
    <row r="40" spans="1:16">
      <c r="A40" s="8" t="s">
        <v>153</v>
      </c>
      <c r="B40" s="20">
        <v>46136</v>
      </c>
      <c r="C40" s="8" t="s">
        <v>154</v>
      </c>
      <c r="D40" s="8" t="s">
        <v>155</v>
      </c>
      <c r="E40" s="8" t="s">
        <v>16</v>
      </c>
      <c r="F40" s="8">
        <v>25</v>
      </c>
      <c r="G40" s="8" t="s">
        <v>49</v>
      </c>
      <c r="H40" s="8" t="s">
        <v>44</v>
      </c>
      <c r="I40" s="8" t="s">
        <v>11</v>
      </c>
      <c r="J40" s="8" t="s">
        <v>200</v>
      </c>
      <c r="K40" s="11" t="s">
        <v>234</v>
      </c>
      <c r="L40" s="11" t="s">
        <v>226</v>
      </c>
      <c r="M40" s="11" t="s">
        <v>225</v>
      </c>
      <c r="N40" s="12">
        <v>2</v>
      </c>
      <c r="O40" s="17">
        <v>7000</v>
      </c>
      <c r="P40" s="17">
        <v>14000</v>
      </c>
    </row>
    <row r="41" spans="1:16">
      <c r="A41" s="8" t="s">
        <v>156</v>
      </c>
      <c r="B41" s="20">
        <v>46139</v>
      </c>
      <c r="C41" s="8" t="s">
        <v>157</v>
      </c>
      <c r="D41" s="8" t="s">
        <v>158</v>
      </c>
      <c r="E41" s="8" t="s">
        <v>8</v>
      </c>
      <c r="F41" s="8">
        <v>37</v>
      </c>
      <c r="G41" s="8" t="s">
        <v>54</v>
      </c>
      <c r="H41" s="8" t="s">
        <v>54</v>
      </c>
      <c r="I41" s="8" t="s">
        <v>11</v>
      </c>
      <c r="J41" s="8" t="s">
        <v>201</v>
      </c>
      <c r="K41" s="11" t="s">
        <v>238</v>
      </c>
      <c r="L41" s="11" t="s">
        <v>223</v>
      </c>
      <c r="M41" s="11" t="s">
        <v>227</v>
      </c>
      <c r="N41" s="12">
        <v>1</v>
      </c>
      <c r="O41" s="17">
        <v>1000</v>
      </c>
      <c r="P41" s="17">
        <v>1000</v>
      </c>
    </row>
    <row r="42" spans="1:16">
      <c r="A42" s="8" t="s">
        <v>159</v>
      </c>
      <c r="B42" s="20">
        <v>46142</v>
      </c>
      <c r="C42" s="8" t="s">
        <v>160</v>
      </c>
      <c r="D42" s="8" t="s">
        <v>161</v>
      </c>
      <c r="E42" s="8" t="s">
        <v>16</v>
      </c>
      <c r="F42" s="8">
        <v>26</v>
      </c>
      <c r="G42" s="8" t="s">
        <v>59</v>
      </c>
      <c r="H42" s="8" t="s">
        <v>60</v>
      </c>
      <c r="I42" s="8" t="s">
        <v>11</v>
      </c>
      <c r="J42" s="8" t="s">
        <v>202</v>
      </c>
      <c r="K42" s="11" t="s">
        <v>240</v>
      </c>
      <c r="L42" s="11" t="s">
        <v>223</v>
      </c>
      <c r="M42" s="11" t="s">
        <v>228</v>
      </c>
      <c r="N42" s="12">
        <v>2</v>
      </c>
      <c r="O42" s="17">
        <v>45000</v>
      </c>
      <c r="P42" s="17">
        <v>90000</v>
      </c>
    </row>
    <row r="43" spans="1:16">
      <c r="A43" s="8" t="s">
        <v>162</v>
      </c>
      <c r="B43" s="21">
        <v>46027</v>
      </c>
      <c r="C43" s="11" t="s">
        <v>6</v>
      </c>
      <c r="D43" s="11" t="s">
        <v>7</v>
      </c>
      <c r="E43" s="11" t="s">
        <v>8</v>
      </c>
      <c r="F43" s="12">
        <v>28</v>
      </c>
      <c r="G43" s="11" t="s">
        <v>9</v>
      </c>
      <c r="H43" s="11" t="s">
        <v>10</v>
      </c>
      <c r="I43" s="11" t="s">
        <v>11</v>
      </c>
      <c r="J43" s="8" t="s">
        <v>203</v>
      </c>
      <c r="K43" s="11" t="s">
        <v>239</v>
      </c>
      <c r="L43" s="11" t="s">
        <v>223</v>
      </c>
      <c r="M43" s="11" t="s">
        <v>224</v>
      </c>
      <c r="N43" s="12">
        <v>3</v>
      </c>
      <c r="O43" s="17">
        <v>35000</v>
      </c>
      <c r="P43" s="17">
        <v>105000</v>
      </c>
    </row>
    <row r="44" spans="1:16">
      <c r="A44" s="8" t="s">
        <v>163</v>
      </c>
      <c r="B44" s="21">
        <v>46029</v>
      </c>
      <c r="C44" s="11" t="s">
        <v>14</v>
      </c>
      <c r="D44" s="11" t="s">
        <v>15</v>
      </c>
      <c r="E44" s="11" t="s">
        <v>16</v>
      </c>
      <c r="F44" s="12">
        <v>25</v>
      </c>
      <c r="G44" s="11" t="s">
        <v>17</v>
      </c>
      <c r="H44" s="11" t="s">
        <v>18</v>
      </c>
      <c r="I44" s="11" t="s">
        <v>11</v>
      </c>
      <c r="J44" s="8" t="s">
        <v>204</v>
      </c>
      <c r="K44" s="11" t="s">
        <v>242</v>
      </c>
      <c r="L44" s="11" t="s">
        <v>226</v>
      </c>
      <c r="M44" s="11" t="s">
        <v>225</v>
      </c>
      <c r="N44" s="12">
        <v>1</v>
      </c>
      <c r="O44" s="17">
        <v>8000</v>
      </c>
      <c r="P44" s="17">
        <v>8000</v>
      </c>
    </row>
    <row r="45" spans="1:16" ht="30">
      <c r="A45" s="8" t="s">
        <v>164</v>
      </c>
      <c r="B45" s="21">
        <v>46032</v>
      </c>
      <c r="C45" s="11" t="s">
        <v>21</v>
      </c>
      <c r="D45" s="11" t="s">
        <v>22</v>
      </c>
      <c r="E45" s="11" t="s">
        <v>8</v>
      </c>
      <c r="F45" s="12">
        <v>32</v>
      </c>
      <c r="G45" s="11" t="s">
        <v>23</v>
      </c>
      <c r="H45" s="11" t="s">
        <v>10</v>
      </c>
      <c r="I45" s="11" t="s">
        <v>11</v>
      </c>
      <c r="J45" s="8" t="s">
        <v>205</v>
      </c>
      <c r="K45" s="11" t="s">
        <v>241</v>
      </c>
      <c r="L45" s="11" t="s">
        <v>223</v>
      </c>
      <c r="M45" s="11" t="s">
        <v>227</v>
      </c>
      <c r="N45" s="12">
        <v>2</v>
      </c>
      <c r="O45" s="17">
        <v>18000</v>
      </c>
      <c r="P45" s="17">
        <v>36000</v>
      </c>
    </row>
    <row r="46" spans="1:16">
      <c r="A46" s="8" t="s">
        <v>165</v>
      </c>
      <c r="B46" s="21">
        <v>46034</v>
      </c>
      <c r="C46" s="11" t="s">
        <v>26</v>
      </c>
      <c r="D46" s="11" t="s">
        <v>27</v>
      </c>
      <c r="E46" s="11" t="s">
        <v>16</v>
      </c>
      <c r="F46" s="12">
        <v>27</v>
      </c>
      <c r="G46" s="11" t="s">
        <v>28</v>
      </c>
      <c r="H46" s="11" t="s">
        <v>10</v>
      </c>
      <c r="I46" s="11" t="s">
        <v>11</v>
      </c>
      <c r="J46" s="8" t="s">
        <v>206</v>
      </c>
      <c r="K46" s="11" t="s">
        <v>235</v>
      </c>
      <c r="L46" s="11" t="s">
        <v>223</v>
      </c>
      <c r="M46" s="11" t="s">
        <v>228</v>
      </c>
      <c r="N46" s="12">
        <v>3</v>
      </c>
      <c r="O46" s="17">
        <v>12000</v>
      </c>
      <c r="P46" s="17">
        <v>36000</v>
      </c>
    </row>
    <row r="47" spans="1:16">
      <c r="A47" s="8" t="s">
        <v>166</v>
      </c>
      <c r="B47" s="21">
        <v>46037</v>
      </c>
      <c r="C47" s="11" t="s">
        <v>31</v>
      </c>
      <c r="D47" s="11" t="s">
        <v>32</v>
      </c>
      <c r="E47" s="11" t="s">
        <v>8</v>
      </c>
      <c r="F47" s="12">
        <v>30</v>
      </c>
      <c r="G47" s="11" t="s">
        <v>33</v>
      </c>
      <c r="H47" s="11" t="s">
        <v>34</v>
      </c>
      <c r="I47" s="11" t="s">
        <v>11</v>
      </c>
      <c r="J47" s="8" t="s">
        <v>207</v>
      </c>
      <c r="K47" s="11" t="s">
        <v>236</v>
      </c>
      <c r="L47" s="11" t="s">
        <v>223</v>
      </c>
      <c r="M47" s="11" t="s">
        <v>224</v>
      </c>
      <c r="N47" s="12">
        <v>1</v>
      </c>
      <c r="O47" s="17">
        <v>2500</v>
      </c>
      <c r="P47" s="17">
        <v>2500</v>
      </c>
    </row>
    <row r="48" spans="1:16" ht="30">
      <c r="A48" s="8" t="s">
        <v>167</v>
      </c>
      <c r="B48" s="21">
        <v>46040</v>
      </c>
      <c r="C48" s="11" t="s">
        <v>37</v>
      </c>
      <c r="D48" s="11" t="s">
        <v>38</v>
      </c>
      <c r="E48" s="11" t="s">
        <v>16</v>
      </c>
      <c r="F48" s="12">
        <v>24</v>
      </c>
      <c r="G48" s="11" t="s">
        <v>9</v>
      </c>
      <c r="H48" s="11" t="s">
        <v>10</v>
      </c>
      <c r="I48" s="11" t="s">
        <v>11</v>
      </c>
      <c r="J48" s="8" t="s">
        <v>208</v>
      </c>
      <c r="K48" s="11" t="s">
        <v>237</v>
      </c>
      <c r="L48" s="11" t="s">
        <v>226</v>
      </c>
      <c r="M48" s="11" t="s">
        <v>225</v>
      </c>
      <c r="N48" s="12">
        <v>2</v>
      </c>
      <c r="O48" s="17">
        <v>7000</v>
      </c>
      <c r="P48" s="17">
        <v>14000</v>
      </c>
    </row>
    <row r="49" spans="1:16">
      <c r="A49" s="8" t="s">
        <v>168</v>
      </c>
      <c r="B49" s="21">
        <v>46043</v>
      </c>
      <c r="C49" s="11" t="s">
        <v>41</v>
      </c>
      <c r="D49" s="11" t="s">
        <v>42</v>
      </c>
      <c r="E49" s="11" t="s">
        <v>8</v>
      </c>
      <c r="F49" s="12">
        <v>35</v>
      </c>
      <c r="G49" s="11" t="s">
        <v>43</v>
      </c>
      <c r="H49" s="11" t="s">
        <v>44</v>
      </c>
      <c r="I49" s="11" t="s">
        <v>11</v>
      </c>
      <c r="J49" s="8" t="s">
        <v>209</v>
      </c>
      <c r="K49" s="11" t="s">
        <v>243</v>
      </c>
      <c r="L49" s="11" t="s">
        <v>223</v>
      </c>
      <c r="M49" s="11" t="s">
        <v>227</v>
      </c>
      <c r="N49" s="12">
        <v>4</v>
      </c>
      <c r="O49" s="17">
        <v>1000</v>
      </c>
      <c r="P49" s="17">
        <v>4000</v>
      </c>
    </row>
    <row r="50" spans="1:16">
      <c r="A50" s="8" t="s">
        <v>169</v>
      </c>
      <c r="B50" s="21">
        <v>46046</v>
      </c>
      <c r="C50" s="11" t="s">
        <v>47</v>
      </c>
      <c r="D50" s="11" t="s">
        <v>48</v>
      </c>
      <c r="E50" s="11" t="s">
        <v>16</v>
      </c>
      <c r="F50" s="12">
        <v>29</v>
      </c>
      <c r="G50" s="11" t="s">
        <v>49</v>
      </c>
      <c r="H50" s="11" t="s">
        <v>44</v>
      </c>
      <c r="I50" s="11" t="s">
        <v>11</v>
      </c>
      <c r="J50" s="8" t="s">
        <v>210</v>
      </c>
      <c r="K50" s="11" t="s">
        <v>244</v>
      </c>
      <c r="L50" s="11" t="s">
        <v>223</v>
      </c>
      <c r="M50" s="11" t="s">
        <v>228</v>
      </c>
      <c r="N50" s="12">
        <v>1</v>
      </c>
      <c r="O50" s="17">
        <v>25000</v>
      </c>
      <c r="P50" s="17">
        <v>25000</v>
      </c>
    </row>
    <row r="51" spans="1:16">
      <c r="A51" s="8" t="s">
        <v>170</v>
      </c>
      <c r="B51" s="21">
        <v>46049</v>
      </c>
      <c r="C51" s="11" t="s">
        <v>52</v>
      </c>
      <c r="D51" s="11" t="s">
        <v>53</v>
      </c>
      <c r="E51" s="11" t="s">
        <v>8</v>
      </c>
      <c r="F51" s="12">
        <v>31</v>
      </c>
      <c r="G51" s="11" t="s">
        <v>54</v>
      </c>
      <c r="H51" s="11" t="s">
        <v>54</v>
      </c>
      <c r="I51" s="11" t="s">
        <v>11</v>
      </c>
      <c r="J51" s="8" t="s">
        <v>211</v>
      </c>
      <c r="K51" s="11" t="s">
        <v>233</v>
      </c>
      <c r="L51" s="11" t="s">
        <v>226</v>
      </c>
      <c r="M51" s="11" t="s">
        <v>224</v>
      </c>
      <c r="N51" s="12">
        <v>2</v>
      </c>
      <c r="O51" s="17">
        <v>5000</v>
      </c>
      <c r="P51" s="17">
        <v>10000</v>
      </c>
    </row>
    <row r="52" spans="1:16">
      <c r="A52" s="8" t="s">
        <v>171</v>
      </c>
      <c r="B52" s="21">
        <v>46052</v>
      </c>
      <c r="C52" s="11" t="s">
        <v>57</v>
      </c>
      <c r="D52" s="11" t="s">
        <v>58</v>
      </c>
      <c r="E52" s="11" t="s">
        <v>16</v>
      </c>
      <c r="F52" s="12">
        <v>26</v>
      </c>
      <c r="G52" s="11" t="s">
        <v>59</v>
      </c>
      <c r="H52" s="11" t="s">
        <v>60</v>
      </c>
      <c r="I52" s="11" t="s">
        <v>11</v>
      </c>
      <c r="J52" s="8" t="s">
        <v>212</v>
      </c>
      <c r="K52" s="11" t="s">
        <v>234</v>
      </c>
      <c r="L52" s="11" t="s">
        <v>223</v>
      </c>
      <c r="M52" s="11" t="s">
        <v>225</v>
      </c>
      <c r="N52" s="12">
        <v>3</v>
      </c>
      <c r="O52" s="17">
        <v>3000</v>
      </c>
      <c r="P52" s="17">
        <v>9000</v>
      </c>
    </row>
    <row r="53" spans="1:16">
      <c r="A53" s="8" t="s">
        <v>172</v>
      </c>
      <c r="B53" s="21">
        <v>46056</v>
      </c>
      <c r="C53" s="11" t="s">
        <v>63</v>
      </c>
      <c r="D53" s="11" t="s">
        <v>64</v>
      </c>
      <c r="E53" s="11" t="s">
        <v>8</v>
      </c>
      <c r="F53" s="12">
        <v>29</v>
      </c>
      <c r="G53" s="11" t="s">
        <v>9</v>
      </c>
      <c r="H53" s="11" t="s">
        <v>10</v>
      </c>
      <c r="I53" s="11" t="s">
        <v>11</v>
      </c>
      <c r="J53" s="8" t="s">
        <v>213</v>
      </c>
      <c r="K53" s="11" t="s">
        <v>238</v>
      </c>
      <c r="L53" s="11" t="s">
        <v>223</v>
      </c>
      <c r="M53" s="11" t="s">
        <v>227</v>
      </c>
      <c r="N53" s="12">
        <v>1</v>
      </c>
      <c r="O53" s="17">
        <v>45000</v>
      </c>
      <c r="P53" s="17">
        <v>45000</v>
      </c>
    </row>
    <row r="54" spans="1:16">
      <c r="A54" s="8" t="s">
        <v>173</v>
      </c>
      <c r="B54" s="21">
        <v>46059</v>
      </c>
      <c r="C54" s="11" t="s">
        <v>67</v>
      </c>
      <c r="D54" s="11" t="s">
        <v>68</v>
      </c>
      <c r="E54" s="11" t="s">
        <v>16</v>
      </c>
      <c r="F54" s="12">
        <v>23</v>
      </c>
      <c r="G54" s="11" t="s">
        <v>17</v>
      </c>
      <c r="H54" s="11" t="s">
        <v>18</v>
      </c>
      <c r="I54" s="11" t="s">
        <v>11</v>
      </c>
      <c r="J54" s="8" t="s">
        <v>214</v>
      </c>
      <c r="K54" s="11" t="s">
        <v>240</v>
      </c>
      <c r="L54" s="11" t="s">
        <v>223</v>
      </c>
      <c r="M54" s="11" t="s">
        <v>228</v>
      </c>
      <c r="N54" s="12">
        <v>2</v>
      </c>
      <c r="O54" s="17">
        <v>35000</v>
      </c>
      <c r="P54" s="17">
        <v>70000</v>
      </c>
    </row>
    <row r="55" spans="1:16" ht="30">
      <c r="A55" s="8" t="s">
        <v>174</v>
      </c>
      <c r="B55" s="21">
        <v>46062</v>
      </c>
      <c r="C55" s="11" t="s">
        <v>71</v>
      </c>
      <c r="D55" s="11" t="s">
        <v>72</v>
      </c>
      <c r="E55" s="11" t="s">
        <v>8</v>
      </c>
      <c r="F55" s="12">
        <v>34</v>
      </c>
      <c r="G55" s="11" t="s">
        <v>23</v>
      </c>
      <c r="H55" s="11" t="s">
        <v>10</v>
      </c>
      <c r="I55" s="11" t="s">
        <v>11</v>
      </c>
      <c r="J55" s="8" t="s">
        <v>215</v>
      </c>
      <c r="K55" s="11" t="s">
        <v>239</v>
      </c>
      <c r="L55" s="11" t="s">
        <v>226</v>
      </c>
      <c r="M55" s="11" t="s">
        <v>224</v>
      </c>
      <c r="N55" s="12">
        <v>3</v>
      </c>
      <c r="O55" s="17">
        <v>5000</v>
      </c>
      <c r="P55" s="17">
        <v>15000</v>
      </c>
    </row>
    <row r="56" spans="1:16">
      <c r="A56" s="8" t="s">
        <v>175</v>
      </c>
      <c r="B56" s="21">
        <v>46065</v>
      </c>
      <c r="C56" s="11" t="s">
        <v>75</v>
      </c>
      <c r="D56" s="11" t="s">
        <v>76</v>
      </c>
      <c r="E56" s="11" t="s">
        <v>16</v>
      </c>
      <c r="F56" s="12">
        <v>28</v>
      </c>
      <c r="G56" s="11" t="s">
        <v>28</v>
      </c>
      <c r="H56" s="11" t="s">
        <v>10</v>
      </c>
      <c r="I56" s="11" t="s">
        <v>11</v>
      </c>
      <c r="J56" s="8" t="s">
        <v>216</v>
      </c>
      <c r="K56" s="11" t="s">
        <v>242</v>
      </c>
      <c r="L56" s="11" t="s">
        <v>223</v>
      </c>
      <c r="M56" s="11" t="s">
        <v>225</v>
      </c>
      <c r="N56" s="12">
        <v>2</v>
      </c>
      <c r="O56" s="17">
        <v>18000</v>
      </c>
      <c r="P56" s="17">
        <v>36000</v>
      </c>
    </row>
    <row r="57" spans="1:16">
      <c r="A57" s="8" t="s">
        <v>176</v>
      </c>
      <c r="B57" s="21">
        <v>46068</v>
      </c>
      <c r="C57" s="11" t="s">
        <v>79</v>
      </c>
      <c r="D57" s="11" t="s">
        <v>80</v>
      </c>
      <c r="E57" s="11" t="s">
        <v>8</v>
      </c>
      <c r="F57" s="12">
        <v>33</v>
      </c>
      <c r="G57" s="11" t="s">
        <v>33</v>
      </c>
      <c r="H57" s="11" t="s">
        <v>34</v>
      </c>
      <c r="I57" s="11" t="s">
        <v>11</v>
      </c>
      <c r="J57" s="8" t="s">
        <v>217</v>
      </c>
      <c r="K57" s="11" t="s">
        <v>241</v>
      </c>
      <c r="L57" s="11" t="s">
        <v>223</v>
      </c>
      <c r="M57" s="11" t="s">
        <v>227</v>
      </c>
      <c r="N57" s="12">
        <v>1</v>
      </c>
      <c r="O57" s="17">
        <v>12000</v>
      </c>
      <c r="P57" s="17">
        <v>12000</v>
      </c>
    </row>
    <row r="58" spans="1:16">
      <c r="A58" s="8" t="s">
        <v>177</v>
      </c>
      <c r="B58" s="21">
        <v>46071</v>
      </c>
      <c r="C58" s="11" t="s">
        <v>83</v>
      </c>
      <c r="D58" s="11" t="s">
        <v>84</v>
      </c>
      <c r="E58" s="11" t="s">
        <v>16</v>
      </c>
      <c r="F58" s="12">
        <v>26</v>
      </c>
      <c r="G58" s="11" t="s">
        <v>9</v>
      </c>
      <c r="H58" s="11" t="s">
        <v>10</v>
      </c>
      <c r="I58" s="11" t="s">
        <v>11</v>
      </c>
      <c r="J58" s="8" t="s">
        <v>218</v>
      </c>
      <c r="K58" s="11" t="s">
        <v>235</v>
      </c>
      <c r="L58" s="11" t="s">
        <v>226</v>
      </c>
      <c r="M58" s="11" t="s">
        <v>228</v>
      </c>
      <c r="N58" s="12">
        <v>2</v>
      </c>
      <c r="O58" s="17">
        <v>7000</v>
      </c>
      <c r="P58" s="17">
        <v>14000</v>
      </c>
    </row>
    <row r="59" spans="1:16">
      <c r="A59" s="8" t="s">
        <v>178</v>
      </c>
      <c r="B59" s="21">
        <v>46074</v>
      </c>
      <c r="C59" s="11" t="s">
        <v>87</v>
      </c>
      <c r="D59" s="11" t="s">
        <v>88</v>
      </c>
      <c r="E59" s="11" t="s">
        <v>8</v>
      </c>
      <c r="F59" s="12">
        <v>30</v>
      </c>
      <c r="G59" s="11" t="s">
        <v>43</v>
      </c>
      <c r="H59" s="11" t="s">
        <v>44</v>
      </c>
      <c r="I59" s="11" t="s">
        <v>11</v>
      </c>
      <c r="J59" s="8" t="s">
        <v>219</v>
      </c>
      <c r="K59" s="11" t="s">
        <v>236</v>
      </c>
      <c r="L59" s="11" t="s">
        <v>223</v>
      </c>
      <c r="M59" s="11" t="s">
        <v>224</v>
      </c>
      <c r="N59" s="12">
        <v>4</v>
      </c>
      <c r="O59" s="17">
        <v>2500</v>
      </c>
      <c r="P59" s="17">
        <v>10000</v>
      </c>
    </row>
    <row r="60" spans="1:16" ht="30">
      <c r="A60" s="8" t="s">
        <v>179</v>
      </c>
      <c r="B60" s="21">
        <v>46077</v>
      </c>
      <c r="C60" s="11" t="s">
        <v>91</v>
      </c>
      <c r="D60" s="11" t="s">
        <v>92</v>
      </c>
      <c r="E60" s="11" t="s">
        <v>16</v>
      </c>
      <c r="F60" s="12">
        <v>25</v>
      </c>
      <c r="G60" s="11" t="s">
        <v>49</v>
      </c>
      <c r="H60" s="11" t="s">
        <v>44</v>
      </c>
      <c r="I60" s="11" t="s">
        <v>11</v>
      </c>
      <c r="J60" s="8" t="s">
        <v>220</v>
      </c>
      <c r="K60" s="11" t="s">
        <v>237</v>
      </c>
      <c r="L60" s="11" t="s">
        <v>223</v>
      </c>
      <c r="M60" s="11" t="s">
        <v>225</v>
      </c>
      <c r="N60" s="12">
        <v>1</v>
      </c>
      <c r="O60" s="17">
        <v>25000</v>
      </c>
      <c r="P60" s="17">
        <v>25000</v>
      </c>
    </row>
    <row r="61" spans="1:16">
      <c r="A61" s="8" t="s">
        <v>180</v>
      </c>
      <c r="B61" s="21">
        <v>46080</v>
      </c>
      <c r="C61" s="11" t="s">
        <v>95</v>
      </c>
      <c r="D61" s="11" t="s">
        <v>96</v>
      </c>
      <c r="E61" s="11" t="s">
        <v>8</v>
      </c>
      <c r="F61" s="12">
        <v>36</v>
      </c>
      <c r="G61" s="11" t="s">
        <v>54</v>
      </c>
      <c r="H61" s="11" t="s">
        <v>54</v>
      </c>
      <c r="I61" s="11" t="s">
        <v>11</v>
      </c>
      <c r="J61" s="8" t="s">
        <v>221</v>
      </c>
      <c r="K61" s="11" t="s">
        <v>243</v>
      </c>
      <c r="L61" s="11" t="s">
        <v>226</v>
      </c>
      <c r="M61" s="11" t="s">
        <v>227</v>
      </c>
      <c r="N61" s="12">
        <v>2</v>
      </c>
      <c r="O61" s="17">
        <v>8000</v>
      </c>
      <c r="P61" s="17">
        <v>16000</v>
      </c>
    </row>
    <row r="62" spans="1:16">
      <c r="A62" s="8" t="s">
        <v>181</v>
      </c>
      <c r="B62" s="21">
        <v>46081</v>
      </c>
      <c r="C62" s="11" t="s">
        <v>99</v>
      </c>
      <c r="D62" s="11" t="s">
        <v>100</v>
      </c>
      <c r="E62" s="11" t="s">
        <v>16</v>
      </c>
      <c r="F62" s="12">
        <v>27</v>
      </c>
      <c r="G62" s="11" t="s">
        <v>59</v>
      </c>
      <c r="H62" s="11" t="s">
        <v>60</v>
      </c>
      <c r="I62" s="11" t="s">
        <v>11</v>
      </c>
      <c r="J62" s="8" t="s">
        <v>222</v>
      </c>
      <c r="K62" s="11" t="s">
        <v>244</v>
      </c>
      <c r="L62" s="11" t="s">
        <v>223</v>
      </c>
      <c r="M62" s="11" t="s">
        <v>224</v>
      </c>
      <c r="N62" s="12">
        <v>3</v>
      </c>
      <c r="O62" s="17">
        <v>3000</v>
      </c>
      <c r="P62" s="17">
        <v>9000</v>
      </c>
    </row>
  </sheetData>
  <phoneticPr fontId="2" type="noConversion"/>
  <conditionalFormatting sqref="A1: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49052-8C2F-4B0A-B096-F5223B58E5E7}">
  <dimension ref="A1:G4"/>
  <sheetViews>
    <sheetView workbookViewId="0">
      <selection activeCell="K5" sqref="K5"/>
    </sheetView>
  </sheetViews>
  <sheetFormatPr defaultRowHeight="15"/>
  <cols>
    <col min="1" max="1" width="24.7109375" customWidth="1"/>
    <col min="3" max="3" width="15.140625" customWidth="1"/>
    <col min="5" max="5" width="13.5703125" customWidth="1"/>
    <col min="7" max="7" width="16.42578125" customWidth="1"/>
  </cols>
  <sheetData>
    <row r="1" spans="1:7">
      <c r="A1" t="s">
        <v>258</v>
      </c>
    </row>
    <row r="3" spans="1:7">
      <c r="A3" t="s">
        <v>259</v>
      </c>
      <c r="C3" t="s">
        <v>260</v>
      </c>
      <c r="E3" t="s">
        <v>261</v>
      </c>
      <c r="G3" s="27" t="s">
        <v>262</v>
      </c>
    </row>
    <row r="4" spans="1:7">
      <c r="A4" s="25">
        <f>SUM(RAW_DATA!P:P)</f>
        <v>1606000</v>
      </c>
      <c r="C4">
        <f>SUM(RAW_DATA!N:N)</f>
        <v>132</v>
      </c>
      <c r="E4" s="26">
        <f>COUNTA(RAW_DATA!A:A)-1</f>
        <v>60</v>
      </c>
      <c r="G4" s="25">
        <f>AVERAGE(RAW_DATA!P:P)</f>
        <v>26766.666666666668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9B292-689F-4A44-9233-434C3DCD8593}">
  <dimension ref="A3:B8"/>
  <sheetViews>
    <sheetView workbookViewId="0">
      <selection activeCell="B7" sqref="B7"/>
    </sheetView>
  </sheetViews>
  <sheetFormatPr defaultRowHeight="15"/>
  <cols>
    <col min="1" max="1" width="13.42578125" bestFit="1" customWidth="1"/>
    <col min="2" max="2" width="12.5703125" bestFit="1" customWidth="1"/>
  </cols>
  <sheetData>
    <row r="3" spans="1:2">
      <c r="A3" s="23" t="s">
        <v>248</v>
      </c>
      <c r="B3" t="s">
        <v>257</v>
      </c>
    </row>
    <row r="4" spans="1:2">
      <c r="A4" s="24" t="s">
        <v>223</v>
      </c>
      <c r="B4">
        <v>1299000</v>
      </c>
    </row>
    <row r="5" spans="1:2">
      <c r="A5" s="24" t="s">
        <v>226</v>
      </c>
      <c r="B5">
        <v>207000</v>
      </c>
    </row>
    <row r="6" spans="1:2">
      <c r="A6" s="24" t="s">
        <v>246</v>
      </c>
      <c r="B6">
        <v>100000</v>
      </c>
    </row>
    <row r="7" spans="1:2">
      <c r="A7" s="24" t="s">
        <v>249</v>
      </c>
    </row>
    <row r="8" spans="1:2">
      <c r="A8" s="24" t="s">
        <v>250</v>
      </c>
      <c r="B8">
        <v>1606000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FE86-EBB4-42CE-A142-8268970D47A8}">
  <dimension ref="A3:AM6"/>
  <sheetViews>
    <sheetView tabSelected="1" workbookViewId="0">
      <selection activeCell="A12" sqref="A12"/>
    </sheetView>
  </sheetViews>
  <sheetFormatPr defaultRowHeight="15"/>
  <cols>
    <col min="1" max="1" width="12.5703125" bestFit="1" customWidth="1"/>
    <col min="2" max="2" width="16.85546875" bestFit="1" customWidth="1"/>
    <col min="3" max="3" width="9.28515625" bestFit="1" customWidth="1"/>
    <col min="4" max="4" width="15" bestFit="1" customWidth="1"/>
    <col min="5" max="5" width="11.140625" bestFit="1" customWidth="1"/>
    <col min="6" max="6" width="9.28515625" bestFit="1" customWidth="1"/>
    <col min="7" max="7" width="10.42578125" bestFit="1" customWidth="1"/>
    <col min="8" max="8" width="14.28515625" bestFit="1" customWidth="1"/>
    <col min="9" max="9" width="9.28515625" bestFit="1" customWidth="1"/>
    <col min="10" max="10" width="17.5703125" bestFit="1" customWidth="1"/>
    <col min="11" max="11" width="11.28515625" bestFit="1" customWidth="1"/>
    <col min="12" max="12" width="9.28515625" bestFit="1" customWidth="1"/>
    <col min="13" max="13" width="14.42578125" bestFit="1" customWidth="1"/>
    <col min="14" max="14" width="11.140625" bestFit="1" customWidth="1"/>
    <col min="15" max="15" width="9.28515625" bestFit="1" customWidth="1"/>
    <col min="16" max="16" width="12" bestFit="1" customWidth="1"/>
    <col min="17" max="17" width="11.140625" bestFit="1" customWidth="1"/>
    <col min="18" max="18" width="12.85546875" bestFit="1" customWidth="1"/>
    <col min="19" max="19" width="11.140625" bestFit="1" customWidth="1"/>
    <col min="20" max="20" width="9.28515625" bestFit="1" customWidth="1"/>
    <col min="21" max="21" width="11.85546875" bestFit="1" customWidth="1"/>
    <col min="22" max="22" width="13.7109375" bestFit="1" customWidth="1"/>
    <col min="23" max="23" width="9.28515625" bestFit="1" customWidth="1"/>
    <col min="24" max="24" width="16.85546875" bestFit="1" customWidth="1"/>
    <col min="25" max="25" width="11.140625" bestFit="1" customWidth="1"/>
    <col min="26" max="26" width="12" bestFit="1" customWidth="1"/>
    <col min="27" max="27" width="13.85546875" bestFit="1" customWidth="1"/>
    <col min="28" max="28" width="9.28515625" bestFit="1" customWidth="1"/>
    <col min="29" max="29" width="17" bestFit="1" customWidth="1"/>
    <col min="30" max="30" width="9.42578125" bestFit="1" customWidth="1"/>
    <col min="32" max="32" width="11.140625" bestFit="1" customWidth="1"/>
    <col min="33" max="33" width="9.28515625" bestFit="1" customWidth="1"/>
    <col min="34" max="34" width="11.42578125" bestFit="1" customWidth="1"/>
    <col min="35" max="35" width="11.140625" bestFit="1" customWidth="1"/>
    <col min="36" max="36" width="13.85546875" bestFit="1" customWidth="1"/>
    <col min="37" max="37" width="9.140625" bestFit="1" customWidth="1"/>
    <col min="38" max="38" width="12.140625" bestFit="1" customWidth="1"/>
    <col min="39" max="39" width="11.28515625" bestFit="1" customWidth="1"/>
  </cols>
  <sheetData>
    <row r="3" spans="1:39">
      <c r="B3" s="23" t="s">
        <v>264</v>
      </c>
    </row>
    <row r="4" spans="1:39">
      <c r="B4" t="s">
        <v>241</v>
      </c>
      <c r="D4" t="s">
        <v>265</v>
      </c>
      <c r="E4" t="s">
        <v>236</v>
      </c>
      <c r="G4" t="s">
        <v>266</v>
      </c>
      <c r="H4" t="s">
        <v>237</v>
      </c>
      <c r="J4" t="s">
        <v>267</v>
      </c>
      <c r="K4" t="s">
        <v>239</v>
      </c>
      <c r="M4" t="s">
        <v>268</v>
      </c>
      <c r="N4" t="s">
        <v>233</v>
      </c>
      <c r="P4" t="s">
        <v>269</v>
      </c>
      <c r="Q4" t="s">
        <v>240</v>
      </c>
      <c r="R4" t="s">
        <v>270</v>
      </c>
      <c r="S4" t="s">
        <v>242</v>
      </c>
      <c r="U4" t="s">
        <v>271</v>
      </c>
      <c r="V4" t="s">
        <v>235</v>
      </c>
      <c r="X4" t="s">
        <v>272</v>
      </c>
      <c r="Y4" t="s">
        <v>238</v>
      </c>
      <c r="Z4" t="s">
        <v>273</v>
      </c>
      <c r="AA4" t="s">
        <v>234</v>
      </c>
      <c r="AC4" t="s">
        <v>274</v>
      </c>
      <c r="AD4" t="s">
        <v>245</v>
      </c>
      <c r="AE4" t="s">
        <v>275</v>
      </c>
      <c r="AF4" t="s">
        <v>243</v>
      </c>
      <c r="AH4" t="s">
        <v>276</v>
      </c>
      <c r="AI4" t="s">
        <v>244</v>
      </c>
      <c r="AJ4" t="s">
        <v>277</v>
      </c>
      <c r="AK4" t="s">
        <v>249</v>
      </c>
      <c r="AL4" t="s">
        <v>278</v>
      </c>
      <c r="AM4" t="s">
        <v>250</v>
      </c>
    </row>
    <row r="5" spans="1:39">
      <c r="B5" t="s">
        <v>223</v>
      </c>
      <c r="C5" t="s">
        <v>226</v>
      </c>
      <c r="E5" t="s">
        <v>223</v>
      </c>
      <c r="F5" t="s">
        <v>226</v>
      </c>
      <c r="H5" t="s">
        <v>223</v>
      </c>
      <c r="I5" t="s">
        <v>226</v>
      </c>
      <c r="K5" t="s">
        <v>223</v>
      </c>
      <c r="L5" t="s">
        <v>226</v>
      </c>
      <c r="N5" t="s">
        <v>223</v>
      </c>
      <c r="O5" t="s">
        <v>226</v>
      </c>
      <c r="Q5" t="s">
        <v>223</v>
      </c>
      <c r="S5" t="s">
        <v>223</v>
      </c>
      <c r="T5" t="s">
        <v>226</v>
      </c>
      <c r="V5" t="s">
        <v>223</v>
      </c>
      <c r="W5" t="s">
        <v>226</v>
      </c>
      <c r="Y5" t="s">
        <v>223</v>
      </c>
      <c r="AA5" t="s">
        <v>223</v>
      </c>
      <c r="AB5" t="s">
        <v>226</v>
      </c>
      <c r="AD5" t="s">
        <v>246</v>
      </c>
      <c r="AF5" t="s">
        <v>223</v>
      </c>
      <c r="AG5" t="s">
        <v>226</v>
      </c>
      <c r="AI5" t="s">
        <v>223</v>
      </c>
      <c r="AK5" t="s">
        <v>249</v>
      </c>
    </row>
    <row r="6" spans="1:39">
      <c r="A6" t="s">
        <v>257</v>
      </c>
      <c r="B6">
        <v>66000</v>
      </c>
      <c r="C6">
        <v>7000</v>
      </c>
      <c r="D6">
        <v>73000</v>
      </c>
      <c r="E6">
        <v>15500</v>
      </c>
      <c r="F6">
        <v>24000</v>
      </c>
      <c r="G6">
        <v>39500</v>
      </c>
      <c r="H6">
        <v>38000</v>
      </c>
      <c r="I6">
        <v>24000</v>
      </c>
      <c r="J6">
        <v>62000</v>
      </c>
      <c r="K6">
        <v>112500</v>
      </c>
      <c r="L6">
        <v>50000</v>
      </c>
      <c r="M6">
        <v>162500</v>
      </c>
      <c r="N6">
        <v>205000</v>
      </c>
      <c r="O6">
        <v>25000</v>
      </c>
      <c r="P6">
        <v>230000</v>
      </c>
      <c r="Q6">
        <v>254000</v>
      </c>
      <c r="R6">
        <v>254000</v>
      </c>
      <c r="S6">
        <v>43000</v>
      </c>
      <c r="T6">
        <v>8000</v>
      </c>
      <c r="U6">
        <v>51000</v>
      </c>
      <c r="V6">
        <v>110000</v>
      </c>
      <c r="W6">
        <v>29000</v>
      </c>
      <c r="X6">
        <v>139000</v>
      </c>
      <c r="Y6">
        <v>81000</v>
      </c>
      <c r="Z6">
        <v>81000</v>
      </c>
      <c r="AA6">
        <v>114000</v>
      </c>
      <c r="AB6">
        <v>24000</v>
      </c>
      <c r="AC6">
        <v>138000</v>
      </c>
      <c r="AD6">
        <v>100000</v>
      </c>
      <c r="AE6">
        <v>100000</v>
      </c>
      <c r="AF6">
        <v>115000</v>
      </c>
      <c r="AG6">
        <v>16000</v>
      </c>
      <c r="AH6">
        <v>131000</v>
      </c>
      <c r="AI6">
        <v>145000</v>
      </c>
      <c r="AJ6">
        <v>145000</v>
      </c>
      <c r="AM6">
        <v>1606000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310F9-F25A-4B7F-9A42-4F448293280B}">
  <dimension ref="A3:B8"/>
  <sheetViews>
    <sheetView workbookViewId="0">
      <pane xSplit="1" topLeftCell="B1" activePane="topRight" state="frozen"/>
      <selection pane="topRight"/>
    </sheetView>
  </sheetViews>
  <sheetFormatPr defaultRowHeight="15"/>
  <cols>
    <col min="1" max="1" width="13.42578125" bestFit="1" customWidth="1"/>
    <col min="2" max="2" width="12.5703125" bestFit="1" customWidth="1"/>
  </cols>
  <sheetData>
    <row r="3" spans="1:2">
      <c r="A3" s="23" t="s">
        <v>248</v>
      </c>
      <c r="B3" t="s">
        <v>257</v>
      </c>
    </row>
    <row r="4" spans="1:2">
      <c r="A4" s="24" t="s">
        <v>247</v>
      </c>
      <c r="B4">
        <v>542500</v>
      </c>
    </row>
    <row r="5" spans="1:2">
      <c r="A5" s="24" t="s">
        <v>250</v>
      </c>
      <c r="B5">
        <v>542500</v>
      </c>
    </row>
    <row r="7" spans="1:2" ht="12.75" customHeight="1"/>
    <row r="8" spans="1:2" ht="1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BB97A-C59A-41CA-9398-7AB066E005FE}">
  <dimension ref="A1:L62"/>
  <sheetViews>
    <sheetView showGridLines="0" zoomScale="93" zoomScaleNormal="93" workbookViewId="0">
      <selection activeCell="O13" sqref="O13"/>
    </sheetView>
  </sheetViews>
  <sheetFormatPr defaultRowHeight="15"/>
  <cols>
    <col min="1" max="1" width="24.7109375" customWidth="1"/>
    <col min="2" max="2" width="9.140625" customWidth="1"/>
    <col min="3" max="3" width="16.5703125" customWidth="1"/>
    <col min="4" max="4" width="9.140625" customWidth="1"/>
    <col min="5" max="5" width="13.28515625" customWidth="1"/>
    <col min="6" max="6" width="10.5703125" customWidth="1"/>
    <col min="7" max="7" width="16.140625" customWidth="1"/>
    <col min="8" max="8" width="13.140625" customWidth="1"/>
    <col min="9" max="9" width="14.28515625" customWidth="1"/>
    <col min="10" max="10" width="12.42578125" customWidth="1"/>
    <col min="11" max="11" width="14.28515625" customWidth="1"/>
  </cols>
  <sheetData>
    <row r="1" spans="1:12">
      <c r="A1" s="28" t="s">
        <v>263</v>
      </c>
      <c r="H1" s="2"/>
      <c r="I1" s="2"/>
      <c r="J1" s="2"/>
      <c r="L1" s="7"/>
    </row>
    <row r="2" spans="1:12">
      <c r="H2" s="1"/>
      <c r="I2" s="1"/>
      <c r="J2" s="1"/>
      <c r="K2" s="5"/>
    </row>
    <row r="3" spans="1:12">
      <c r="A3" s="34" t="s">
        <v>259</v>
      </c>
      <c r="C3" s="31" t="s">
        <v>260</v>
      </c>
      <c r="D3" s="28"/>
      <c r="E3" s="31" t="s">
        <v>261</v>
      </c>
      <c r="F3" s="28"/>
      <c r="G3" s="32" t="s">
        <v>262</v>
      </c>
      <c r="K3" s="1"/>
    </row>
    <row r="4" spans="1:12">
      <c r="A4" s="33">
        <f>SUM(RAW_DATA!P:P)</f>
        <v>1606000</v>
      </c>
      <c r="C4" s="28">
        <f>SUM(RAW_DATA!N:N)</f>
        <v>132</v>
      </c>
      <c r="D4" s="28"/>
      <c r="E4" s="30">
        <f>COUNTA(RAW_DATA!A:A)-1</f>
        <v>60</v>
      </c>
      <c r="F4" s="28"/>
      <c r="G4" s="29">
        <f>AVERAGE(RAW_DATA!P:P)</f>
        <v>26766.666666666668</v>
      </c>
      <c r="K4" s="1"/>
    </row>
    <row r="5" spans="1:12">
      <c r="B5" s="3"/>
      <c r="K5" s="1"/>
    </row>
    <row r="6" spans="1:12">
      <c r="B6" s="3"/>
      <c r="K6" s="1"/>
    </row>
    <row r="7" spans="1:12">
      <c r="B7" s="3"/>
      <c r="K7" s="1"/>
    </row>
    <row r="8" spans="1:12">
      <c r="B8" s="3"/>
      <c r="K8" s="1"/>
    </row>
    <row r="9" spans="1:12">
      <c r="B9" s="3"/>
      <c r="K9" s="1"/>
    </row>
    <row r="10" spans="1:12">
      <c r="B10" s="3"/>
      <c r="K10" s="1"/>
    </row>
    <row r="11" spans="1:12">
      <c r="B11" s="3"/>
      <c r="K11" s="1"/>
    </row>
    <row r="12" spans="1:12">
      <c r="B12" s="3"/>
      <c r="K12" s="1"/>
    </row>
    <row r="13" spans="1:12">
      <c r="B13" s="3"/>
      <c r="K13" s="1"/>
    </row>
    <row r="14" spans="1:12">
      <c r="B14" s="3"/>
      <c r="K14" s="1"/>
    </row>
    <row r="15" spans="1:12">
      <c r="B15" s="3"/>
      <c r="K15" s="1"/>
    </row>
    <row r="16" spans="1:12">
      <c r="B16" s="3"/>
      <c r="K16" s="1"/>
    </row>
    <row r="17" spans="2:11">
      <c r="B17" s="3"/>
      <c r="K17" s="1"/>
    </row>
    <row r="18" spans="2:11">
      <c r="B18" s="3"/>
      <c r="K18" s="1"/>
    </row>
    <row r="19" spans="2:11">
      <c r="B19" s="3"/>
      <c r="K19" s="1"/>
    </row>
    <row r="20" spans="2:11">
      <c r="B20" s="3"/>
      <c r="K20" s="1"/>
    </row>
    <row r="21" spans="2:11">
      <c r="B21" s="3"/>
      <c r="K21" s="1"/>
    </row>
    <row r="22" spans="2:11">
      <c r="B22" s="3"/>
      <c r="K22" s="1"/>
    </row>
    <row r="23" spans="2:11">
      <c r="B23" s="3"/>
      <c r="K23" s="1"/>
    </row>
    <row r="24" spans="2:11">
      <c r="B24" s="3"/>
      <c r="K24" s="1"/>
    </row>
    <row r="25" spans="2:11">
      <c r="B25" s="3"/>
      <c r="K25" s="1"/>
    </row>
    <row r="26" spans="2:11">
      <c r="B26" s="3"/>
      <c r="K26" s="1"/>
    </row>
    <row r="27" spans="2:11">
      <c r="B27" s="3"/>
      <c r="K27" s="1"/>
    </row>
    <row r="28" spans="2:11">
      <c r="B28" s="3"/>
      <c r="K28" s="1"/>
    </row>
    <row r="29" spans="2:11">
      <c r="B29" s="3"/>
      <c r="K29" s="1"/>
    </row>
    <row r="30" spans="2:11">
      <c r="B30" s="3"/>
      <c r="K30" s="1"/>
    </row>
    <row r="31" spans="2:11">
      <c r="B31" s="3"/>
      <c r="K31" s="1"/>
    </row>
    <row r="32" spans="2:11">
      <c r="B32" s="3"/>
      <c r="K32" s="1"/>
    </row>
    <row r="33" spans="1:11">
      <c r="B33" s="3"/>
      <c r="K33" s="1"/>
    </row>
    <row r="34" spans="1:11">
      <c r="B34" s="3"/>
      <c r="K34" s="1"/>
    </row>
    <row r="35" spans="1:11">
      <c r="B35" s="3"/>
      <c r="K35" s="1"/>
    </row>
    <row r="36" spans="1:11">
      <c r="B36" s="3"/>
      <c r="K36" s="1"/>
    </row>
    <row r="37" spans="1:11">
      <c r="B37" s="3"/>
      <c r="K37" s="1"/>
    </row>
    <row r="38" spans="1:11">
      <c r="B38" s="3"/>
      <c r="K38" s="1"/>
    </row>
    <row r="39" spans="1:11">
      <c r="B39" s="3"/>
      <c r="K39" s="1"/>
    </row>
    <row r="40" spans="1:11">
      <c r="B40" s="3"/>
      <c r="K40" s="1"/>
    </row>
    <row r="41" spans="1:11">
      <c r="B41" s="3"/>
      <c r="K41" s="1"/>
    </row>
    <row r="42" spans="1:11">
      <c r="B42" s="3"/>
      <c r="K42" s="1"/>
    </row>
    <row r="43" spans="1:11">
      <c r="A43" s="1"/>
      <c r="B43" s="4"/>
      <c r="C43" s="1"/>
      <c r="D43" s="1"/>
      <c r="E43" s="1"/>
      <c r="F43" s="6"/>
      <c r="G43" s="1"/>
      <c r="H43" s="1"/>
      <c r="I43" s="1"/>
      <c r="K43" s="1"/>
    </row>
    <row r="44" spans="1:11">
      <c r="A44" s="1"/>
      <c r="B44" s="4"/>
      <c r="C44" s="1"/>
      <c r="D44" s="1"/>
      <c r="E44" s="1"/>
      <c r="F44" s="6"/>
      <c r="G44" s="1"/>
      <c r="H44" s="1"/>
      <c r="I44" s="1"/>
      <c r="K44" s="1"/>
    </row>
    <row r="45" spans="1:11">
      <c r="A45" s="1"/>
      <c r="B45" s="4"/>
      <c r="C45" s="1"/>
      <c r="D45" s="1"/>
      <c r="E45" s="1"/>
      <c r="F45" s="6"/>
      <c r="G45" s="1"/>
      <c r="H45" s="1"/>
      <c r="I45" s="1"/>
      <c r="K45" s="1"/>
    </row>
    <row r="46" spans="1:11">
      <c r="A46" s="1"/>
      <c r="B46" s="4"/>
      <c r="C46" s="1"/>
      <c r="D46" s="1"/>
      <c r="E46" s="1"/>
      <c r="F46" s="6"/>
      <c r="G46" s="1"/>
      <c r="H46" s="1"/>
      <c r="I46" s="1"/>
      <c r="K46" s="1"/>
    </row>
    <row r="47" spans="1:11">
      <c r="A47" s="1"/>
      <c r="B47" s="4"/>
      <c r="C47" s="1"/>
      <c r="D47" s="1"/>
      <c r="E47" s="1"/>
      <c r="F47" s="6"/>
      <c r="G47" s="1"/>
      <c r="H47" s="1"/>
      <c r="I47" s="1"/>
      <c r="K47" s="1"/>
    </row>
    <row r="48" spans="1:11">
      <c r="A48" s="1"/>
      <c r="B48" s="4"/>
      <c r="C48" s="1"/>
      <c r="D48" s="1"/>
      <c r="E48" s="1"/>
      <c r="F48" s="6"/>
      <c r="G48" s="1"/>
      <c r="H48" s="1"/>
      <c r="I48" s="1"/>
      <c r="K48" s="1"/>
    </row>
    <row r="49" spans="1:11">
      <c r="A49" s="1"/>
      <c r="B49" s="4"/>
      <c r="C49" s="1"/>
      <c r="D49" s="1"/>
      <c r="E49" s="1"/>
      <c r="F49" s="6"/>
      <c r="G49" s="1"/>
      <c r="H49" s="1"/>
      <c r="I49" s="1"/>
      <c r="K49" s="1"/>
    </row>
    <row r="50" spans="1:11">
      <c r="A50" s="1"/>
      <c r="B50" s="4"/>
      <c r="C50" s="1"/>
      <c r="D50" s="1"/>
      <c r="E50" s="1"/>
      <c r="F50" s="6"/>
      <c r="G50" s="1"/>
      <c r="H50" s="1"/>
      <c r="I50" s="1"/>
      <c r="K50" s="1"/>
    </row>
    <row r="51" spans="1:11">
      <c r="A51" s="1"/>
      <c r="B51" s="4"/>
      <c r="C51" s="1"/>
      <c r="D51" s="1"/>
      <c r="E51" s="1"/>
      <c r="F51" s="6"/>
      <c r="G51" s="1"/>
      <c r="H51" s="1"/>
      <c r="I51" s="1"/>
      <c r="K51" s="1"/>
    </row>
    <row r="52" spans="1:11">
      <c r="A52" s="1"/>
      <c r="B52" s="4"/>
      <c r="C52" s="1"/>
      <c r="D52" s="1"/>
      <c r="E52" s="1"/>
      <c r="F52" s="6"/>
      <c r="G52" s="1"/>
      <c r="H52" s="1"/>
      <c r="I52" s="1"/>
      <c r="K52" s="1"/>
    </row>
    <row r="53" spans="1:11">
      <c r="A53" s="1"/>
      <c r="B53" s="4"/>
      <c r="C53" s="1"/>
      <c r="D53" s="1"/>
      <c r="E53" s="1"/>
      <c r="F53" s="6"/>
      <c r="G53" s="1"/>
      <c r="H53" s="1"/>
      <c r="I53" s="1"/>
      <c r="K53" s="1"/>
    </row>
    <row r="54" spans="1:11">
      <c r="A54" s="1"/>
      <c r="B54" s="4"/>
      <c r="C54" s="1"/>
      <c r="D54" s="1"/>
      <c r="E54" s="1"/>
      <c r="F54" s="6"/>
      <c r="G54" s="1"/>
      <c r="H54" s="1"/>
      <c r="I54" s="1"/>
      <c r="K54" s="1"/>
    </row>
    <row r="55" spans="1:11">
      <c r="A55" s="1"/>
      <c r="B55" s="4"/>
      <c r="C55" s="1"/>
      <c r="D55" s="1"/>
      <c r="E55" s="1"/>
      <c r="F55" s="6"/>
      <c r="G55" s="1"/>
      <c r="H55" s="1"/>
      <c r="I55" s="1"/>
      <c r="K55" s="1"/>
    </row>
    <row r="56" spans="1:11">
      <c r="A56" s="1"/>
      <c r="B56" s="4"/>
      <c r="C56" s="1"/>
      <c r="D56" s="1"/>
      <c r="E56" s="1"/>
      <c r="F56" s="6"/>
      <c r="G56" s="1"/>
      <c r="H56" s="1"/>
      <c r="I56" s="1"/>
      <c r="K56" s="1"/>
    </row>
    <row r="57" spans="1:11">
      <c r="A57" s="1"/>
      <c r="B57" s="4"/>
      <c r="C57" s="1"/>
      <c r="D57" s="1"/>
      <c r="E57" s="1"/>
      <c r="F57" s="6"/>
      <c r="G57" s="1"/>
      <c r="H57" s="1"/>
      <c r="I57" s="1"/>
      <c r="K57" s="1"/>
    </row>
    <row r="58" spans="1:11">
      <c r="A58" s="1"/>
      <c r="B58" s="4"/>
      <c r="C58" s="1"/>
      <c r="D58" s="1"/>
      <c r="E58" s="1"/>
      <c r="F58" s="6"/>
      <c r="G58" s="1"/>
      <c r="H58" s="1"/>
      <c r="I58" s="1"/>
      <c r="K58" s="1"/>
    </row>
    <row r="59" spans="1:11">
      <c r="A59" s="1"/>
      <c r="B59" s="4"/>
      <c r="C59" s="1"/>
      <c r="D59" s="1"/>
      <c r="E59" s="1"/>
      <c r="F59" s="6"/>
      <c r="G59" s="1"/>
      <c r="H59" s="1"/>
      <c r="I59" s="1"/>
      <c r="K59" s="1"/>
    </row>
    <row r="60" spans="1:11">
      <c r="A60" s="1"/>
      <c r="B60" s="4"/>
      <c r="C60" s="1"/>
      <c r="D60" s="1"/>
      <c r="E60" s="1"/>
      <c r="F60" s="6"/>
      <c r="G60" s="1"/>
      <c r="H60" s="1"/>
      <c r="I60" s="1"/>
      <c r="K60" s="1"/>
    </row>
    <row r="61" spans="1:11">
      <c r="A61" s="1"/>
      <c r="B61" s="4"/>
      <c r="C61" s="1"/>
      <c r="D61" s="1"/>
      <c r="E61" s="1"/>
      <c r="F61" s="6"/>
      <c r="G61" s="1"/>
      <c r="H61" s="1"/>
      <c r="I61" s="1"/>
      <c r="K61" s="1"/>
    </row>
    <row r="62" spans="1:11">
      <c r="A62" s="1"/>
      <c r="B62" s="4"/>
      <c r="C62" s="1"/>
      <c r="D62" s="1"/>
      <c r="E62" s="1"/>
      <c r="F62" s="6"/>
      <c r="G62" s="1"/>
      <c r="H62" s="1"/>
      <c r="I62" s="1"/>
      <c r="K62" s="1"/>
    </row>
  </sheetData>
  <phoneticPr fontId="2"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SALE</vt:lpstr>
      <vt:lpstr>CATEGORY</vt:lpstr>
      <vt:lpstr>PT_PRODUCT</vt:lpstr>
      <vt:lpstr>PT_REGION2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Ragavi</dc:creator>
  <cp:lastModifiedBy>Sai Ragavi</cp:lastModifiedBy>
  <dcterms:created xsi:type="dcterms:W3CDTF">2026-09-23T07:14:58Z</dcterms:created>
  <dcterms:modified xsi:type="dcterms:W3CDTF">2026-09-25T13:31:30Z</dcterms:modified>
</cp:coreProperties>
</file>